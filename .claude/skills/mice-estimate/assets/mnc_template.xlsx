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010" yWindow="690" windowWidth="20820" windowHeight="12120" tabRatio="500" firstSheet="0" activeTab="0" autoFilterDateGrouping="1"/>
  </bookViews>
  <sheets>
    <sheet xmlns:r="http://schemas.openxmlformats.org/officeDocument/2006/relationships" name="관광기념품 공모전 및 박람회" sheetId="1" state="visible" r:id="rId1"/>
  </sheets>
  <definedNames>
    <definedName name="_xlnm.Print_Titles" localSheetId="0">'관광기념품 공모전 및 박람회'!$1:$21</definedName>
    <definedName name="_xlnm.Print_Area" localSheetId="0">'관광기념품 공모전 및 박람회'!$A$1:$K$69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5">
    <numFmt numFmtId="164" formatCode="_-* #,##0_-;\-* #,##0_-;_-* \-_-;_-@_-"/>
    <numFmt numFmtId="165" formatCode="#,##0_ "/>
    <numFmt numFmtId="166" formatCode="0_);[Red]\(0\)"/>
    <numFmt numFmtId="167" formatCode="yyyy&quot;년&quot;\ m&quot;월&quot;\ d&quot;일&quot;;@"/>
    <numFmt numFmtId="168" formatCode="_(* #,##0_);_(* \(#,##0\);_(* \-_);_(@_)"/>
  </numFmts>
  <fonts count="19">
    <font>
      <name val="돋움"/>
      <charset val="129"/>
      <family val="3"/>
      <sz val="11"/>
    </font>
    <font>
      <name val="돋움"/>
      <charset val="129"/>
      <family val="3"/>
      <color theme="10"/>
      <sz val="11"/>
      <u val="single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Pretendard"/>
      <charset val="129"/>
      <family val="3"/>
      <b val="1"/>
      <sz val="30"/>
    </font>
    <font>
      <name val="Pretendard"/>
      <charset val="129"/>
      <family val="3"/>
      <sz val="11"/>
    </font>
    <font>
      <name val="Pretendard"/>
      <charset val="129"/>
      <family val="3"/>
      <sz val="14"/>
    </font>
    <font>
      <name val="Pretendard"/>
      <charset val="129"/>
      <family val="3"/>
      <b val="1"/>
      <sz val="11"/>
    </font>
    <font>
      <name val="Pretendard"/>
      <charset val="129"/>
      <family val="3"/>
      <b val="1"/>
      <sz val="14"/>
    </font>
    <font>
      <name val="Pretendard"/>
      <charset val="129"/>
      <family val="3"/>
      <b val="1"/>
      <sz val="12"/>
    </font>
    <font>
      <name val="Pretendard"/>
      <charset val="129"/>
      <family val="3"/>
      <sz val="12"/>
    </font>
    <font>
      <name val="Pretendard"/>
      <charset val="129"/>
      <family val="3"/>
      <color theme="10"/>
      <sz val="11"/>
      <u val="single"/>
    </font>
    <font>
      <name val="Pretendard"/>
      <charset val="129"/>
      <family val="3"/>
      <b val="1"/>
      <color rgb="FFFFFFFF"/>
      <sz val="16"/>
    </font>
    <font>
      <name val="Pretendard"/>
      <charset val="129"/>
      <family val="3"/>
      <b val="1"/>
      <color rgb="FFFFFFFF"/>
      <sz val="12"/>
    </font>
    <font>
      <name val="Pretendard"/>
      <charset val="129"/>
      <family val="3"/>
      <sz val="10"/>
    </font>
    <font>
      <name val="Pretendard"/>
      <charset val="129"/>
      <family val="3"/>
      <b val="1"/>
      <sz val="18"/>
    </font>
    <font>
      <name val="Pretendard"/>
      <charset val="129"/>
      <family val="3"/>
      <color theme="1"/>
      <sz val="12"/>
    </font>
    <font>
      <name val="Pretendard"/>
      <charset val="129"/>
      <family val="3"/>
      <b val="1"/>
      <color rgb="FFFF0000"/>
      <sz val="12"/>
    </font>
    <font>
      <name val="Pretendard"/>
      <charset val="129"/>
      <family val="3"/>
      <b val="1"/>
      <color theme="1"/>
      <sz val="12"/>
    </font>
  </fonts>
  <fills count="8">
    <fill>
      <patternFill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003366"/>
        <bgColor rgb="FF333399"/>
      </patternFill>
    </fill>
    <fill>
      <patternFill patternType="solid">
        <fgColor theme="9" tint="0.3998840296639912"/>
        <bgColor rgb="FFC0C0C0"/>
      </patternFill>
    </fill>
    <fill>
      <patternFill patternType="solid">
        <fgColor rgb="FF0066CC"/>
        <bgColor rgb="FF008080"/>
      </patternFill>
    </fill>
    <fill>
      <patternFill patternType="solid">
        <fgColor rgb="FFC0C0C0"/>
        <bgColor rgb="FFCCCCFF"/>
      </patternFill>
    </fill>
    <fill>
      <patternFill patternType="solid">
        <fgColor theme="0" tint="-0.1499984740745262"/>
        <bgColor rgb="FFFFFFCC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333333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FFFFFF"/>
      </right>
      <top/>
      <bottom style="thin">
        <color rgb="FF333333"/>
      </bottom>
      <diagonal/>
    </border>
    <border>
      <left style="thin">
        <color rgb="FFFFFFFF"/>
      </left>
      <right style="thin">
        <color rgb="FFFFFFFF"/>
      </right>
      <top/>
      <bottom style="thin">
        <color rgb="FF333333"/>
      </bottom>
      <diagonal/>
    </border>
    <border>
      <left style="thin">
        <color theme="0"/>
      </left>
      <right/>
      <top/>
      <bottom style="thin">
        <color rgb="FF333333"/>
      </bottom>
      <diagonal/>
    </border>
    <border>
      <left style="thin">
        <color theme="0"/>
      </left>
      <right style="thin">
        <color auto="1"/>
      </right>
      <top/>
      <bottom style="thin">
        <color rgb="FF333333"/>
      </bottom>
      <diagonal/>
    </border>
    <border>
      <left style="thin">
        <color auto="1"/>
      </left>
      <right style="hair">
        <color rgb="FF333333"/>
      </right>
      <top style="hair">
        <color rgb="FF333333"/>
      </top>
      <bottom/>
      <diagonal/>
    </border>
    <border>
      <left style="hair">
        <color rgb="FF333333"/>
      </left>
      <right style="hair">
        <color rgb="FF333333"/>
      </right>
      <top style="hair">
        <color rgb="FF333333"/>
      </top>
      <bottom style="hair">
        <color rgb="FF333333"/>
      </bottom>
      <diagonal/>
    </border>
    <border>
      <left style="thin">
        <color auto="1"/>
      </left>
      <right style="hair">
        <color rgb="FF333333"/>
      </right>
      <top style="thin">
        <color auto="1"/>
      </top>
      <bottom style="hair">
        <color rgb="FF333333"/>
      </bottom>
      <diagonal/>
    </border>
    <border>
      <left style="hair">
        <color rgb="FF333333"/>
      </left>
      <right style="hair">
        <color rgb="FF333333"/>
      </right>
      <top style="thin">
        <color auto="1"/>
      </top>
      <bottom style="hair">
        <color rgb="FF333333"/>
      </bottom>
      <diagonal/>
    </border>
    <border>
      <left style="hair">
        <color rgb="FF333333"/>
      </left>
      <right style="thin">
        <color auto="1"/>
      </right>
      <top style="thin">
        <color auto="1"/>
      </top>
      <bottom style="hair">
        <color rgb="FF333333"/>
      </bottom>
      <diagonal/>
    </border>
    <border>
      <left style="thin">
        <color auto="1"/>
      </left>
      <right style="hair">
        <color rgb="FF333333"/>
      </right>
      <top style="hair">
        <color rgb="FF333333"/>
      </top>
      <bottom style="hair">
        <color rgb="FF333333"/>
      </bottom>
      <diagonal/>
    </border>
    <border>
      <left style="thin">
        <color auto="1"/>
      </left>
      <right style="hair">
        <color rgb="FF333333"/>
      </right>
      <top style="hair">
        <color rgb="FF333333"/>
      </top>
      <bottom style="thin">
        <color auto="1"/>
      </bottom>
      <diagonal/>
    </border>
    <border>
      <left style="hair">
        <color rgb="FF333333"/>
      </left>
      <right style="hair">
        <color rgb="FF333333"/>
      </right>
      <top style="hair">
        <color rgb="FF333333"/>
      </top>
      <bottom style="thin">
        <color auto="1"/>
      </bottom>
      <diagonal/>
    </border>
    <border>
      <left style="hair">
        <color rgb="FF333333"/>
      </left>
      <right style="thin">
        <color auto="1"/>
      </right>
      <top style="hair">
        <color rgb="FF333333"/>
      </top>
      <bottom style="thin">
        <color auto="1"/>
      </bottom>
      <diagonal/>
    </border>
    <border>
      <left style="thin">
        <color auto="1"/>
      </left>
      <right style="hair">
        <color rgb="FF333333"/>
      </right>
      <top/>
      <bottom/>
      <diagonal/>
    </border>
    <border>
      <left style="thin">
        <color auto="1"/>
      </left>
      <right style="hair">
        <color rgb="FF333333"/>
      </right>
      <top/>
      <bottom style="hair">
        <color rgb="FF333333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theme="0"/>
      </bottom>
      <diagonal/>
    </border>
    <border>
      <left style="thin">
        <color auto="1"/>
      </left>
      <right style="thin">
        <color indexed="64"/>
      </right>
      <top style="hair">
        <color rgb="FF333333"/>
      </top>
      <bottom style="hair">
        <color rgb="FF333333"/>
      </bottom>
      <diagonal/>
    </border>
    <border>
      <left style="hair">
        <color rgb="FF333333"/>
      </left>
      <right/>
      <top style="hair">
        <color rgb="FF333333"/>
      </top>
      <bottom style="hair">
        <color rgb="FF333333"/>
      </bottom>
      <diagonal/>
    </border>
    <border>
      <left/>
      <right style="thin">
        <color auto="1"/>
      </right>
      <top style="hair">
        <color rgb="FF333333"/>
      </top>
      <bottom style="hair">
        <color rgb="FF333333"/>
      </bottom>
      <diagonal/>
    </border>
    <border>
      <left style="thin">
        <color auto="1"/>
      </left>
      <right style="hair">
        <color rgb="FF333333"/>
      </right>
      <top style="hair">
        <color rgb="FF333333"/>
      </top>
      <bottom style="hair">
        <color auto="1"/>
      </bottom>
      <diagonal/>
    </border>
    <border>
      <left style="thin">
        <color auto="1"/>
      </left>
      <right style="hair">
        <color rgb="FF333333"/>
      </right>
      <top/>
      <bottom style="hair">
        <color auto="1"/>
      </bottom>
      <diagonal/>
    </border>
    <border>
      <left style="hair">
        <color rgb="FF333333"/>
      </left>
      <right/>
      <top style="thin">
        <color auto="1"/>
      </top>
      <bottom style="hair">
        <color rgb="FF333333"/>
      </bottom>
      <diagonal/>
    </border>
    <border>
      <left/>
      <right style="thin">
        <color auto="1"/>
      </right>
      <top style="thin">
        <color auto="1"/>
      </top>
      <bottom style="hair">
        <color rgb="FF333333"/>
      </bottom>
      <diagonal/>
    </border>
    <border>
      <left style="hair">
        <color rgb="FF333333"/>
      </left>
      <right/>
      <top style="hair">
        <color rgb="FF333333"/>
      </top>
      <bottom style="thin">
        <color auto="1"/>
      </bottom>
      <diagonal/>
    </border>
    <border>
      <left/>
      <right style="thin">
        <color auto="1"/>
      </right>
      <top style="hair">
        <color rgb="FF333333"/>
      </top>
      <bottom style="thin">
        <color auto="1"/>
      </bottom>
      <diagonal/>
    </border>
    <border>
      <left/>
      <right/>
      <top style="hair">
        <color rgb="FF333333"/>
      </top>
      <bottom style="hair">
        <color rgb="FF333333"/>
      </bottom>
      <diagonal/>
    </border>
    <border>
      <left style="thin">
        <color auto="1"/>
      </left>
      <right style="hair">
        <color rgb="FF333333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rgb="FF333333"/>
      </right>
      <top style="hair">
        <color auto="1"/>
      </top>
      <bottom style="hair">
        <color rgb="FF333333"/>
      </bottom>
      <diagonal/>
    </border>
    <border>
      <left/>
      <right/>
      <top style="hair">
        <color rgb="FF333333"/>
      </top>
      <bottom/>
      <diagonal/>
    </border>
    <border>
      <left/>
      <right style="hair">
        <color rgb="FF333333"/>
      </right>
      <top style="hair">
        <color rgb="FF333333"/>
      </top>
      <bottom/>
      <diagonal/>
    </border>
    <border>
      <left/>
      <right/>
      <top style="hair">
        <color rgb="FF333333"/>
      </top>
      <bottom style="thin">
        <color auto="1"/>
      </bottom>
      <diagonal/>
    </border>
    <border>
      <left/>
      <right style="hair">
        <color rgb="FF333333"/>
      </right>
      <top style="hair">
        <color rgb="FF333333"/>
      </top>
      <bottom style="thin">
        <color auto="1"/>
      </bottom>
      <diagonal/>
    </border>
    <border>
      <left style="hair">
        <color rgb="FF333333"/>
      </left>
      <right style="thin">
        <color auto="1"/>
      </right>
      <top style="hair">
        <color rgb="FF333333"/>
      </top>
      <bottom style="hair">
        <color rgb="FF333333"/>
      </bottom>
      <diagonal/>
    </border>
    <border>
      <left/>
      <right style="thin">
        <color auto="1"/>
      </right>
      <top style="hair">
        <color rgb="FF333333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rgb="FF333333"/>
      </bottom>
      <diagonal/>
    </border>
    <border>
      <left/>
      <right style="thin">
        <color auto="1"/>
      </right>
      <top style="thin">
        <color auto="1"/>
      </top>
      <bottom style="thin">
        <color rgb="FF333333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auto="1"/>
      </right>
      <top style="thin">
        <color indexed="64"/>
      </top>
      <bottom style="thin">
        <color theme="0"/>
      </bottom>
      <diagonal/>
    </border>
    <border>
      <left/>
      <right style="thin">
        <color auto="1"/>
      </right>
      <top/>
      <bottom style="thin">
        <color rgb="FF333333"/>
      </bottom>
      <diagonal/>
    </border>
    <border>
      <left/>
      <right style="hair">
        <color rgb="FF333333"/>
      </right>
      <top style="hair">
        <color rgb="FF333333"/>
      </top>
      <bottom style="hair">
        <color rgb="FF333333"/>
      </bottom>
      <diagonal/>
    </border>
  </borders>
  <cellStyleXfs count="4">
    <xf numFmtId="0" fontId="2" fillId="0" borderId="0" applyAlignment="1">
      <alignment vertical="center"/>
    </xf>
    <xf numFmtId="9" fontId="2" fillId="0" borderId="0" applyAlignment="1">
      <alignment vertical="center"/>
    </xf>
    <xf numFmtId="0" fontId="1" fillId="0" borderId="0" applyAlignment="1">
      <alignment vertical="center"/>
    </xf>
    <xf numFmtId="168" fontId="2" fillId="0" borderId="0" applyAlignment="1">
      <alignment vertical="center"/>
    </xf>
  </cellStyleXfs>
  <cellXfs count="206"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6" fillId="0" borderId="0" applyAlignment="1" pivotButton="0" quotePrefix="0" xfId="3">
      <alignment horizontal="left" vertical="center"/>
    </xf>
    <xf numFmtId="0" fontId="6" fillId="0" borderId="0" applyAlignment="1" pivotButton="0" quotePrefix="0" xfId="3">
      <alignment vertical="center"/>
    </xf>
    <xf numFmtId="164" fontId="7" fillId="0" borderId="0" applyAlignment="1" pivotButton="0" quotePrefix="0" xfId="3">
      <alignment vertical="center" wrapText="1"/>
    </xf>
    <xf numFmtId="0" fontId="7" fillId="0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164" fontId="7" fillId="2" borderId="0" applyAlignment="1" pivotButton="0" quotePrefix="0" xfId="3">
      <alignment vertical="center"/>
    </xf>
    <xf numFmtId="164" fontId="8" fillId="0" borderId="0" applyAlignment="1" pivotButton="0" quotePrefix="0" xfId="3">
      <alignment horizontal="center" vertical="center"/>
    </xf>
    <xf numFmtId="0" fontId="6" fillId="0" borderId="0" applyAlignment="1" pivotButton="0" quotePrefix="0" xfId="3">
      <alignment horizontal="left" vertical="center"/>
    </xf>
    <xf numFmtId="164" fontId="7" fillId="0" borderId="0" applyAlignment="1" pivotButton="0" quotePrefix="0" xfId="3">
      <alignment horizontal="right" vertical="center" wrapText="1"/>
    </xf>
    <xf numFmtId="0" fontId="9" fillId="0" borderId="0" applyAlignment="1" pivotButton="0" quotePrefix="0" xfId="3">
      <alignment vertical="center"/>
    </xf>
    <xf numFmtId="0" fontId="10" fillId="2" borderId="0" applyAlignment="1" pivotButton="0" quotePrefix="0" xfId="3">
      <alignment vertical="center" wrapText="1"/>
    </xf>
    <xf numFmtId="0" fontId="5" fillId="2" borderId="1" applyAlignment="1" pivotButton="0" quotePrefix="0" xfId="3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0" borderId="0" applyAlignment="1" pivotButton="0" quotePrefix="0" xfId="3">
      <alignment vertical="center"/>
    </xf>
    <xf numFmtId="0" fontId="5" fillId="2" borderId="2" applyAlignment="1" pivotButton="0" quotePrefix="0" xfId="3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7" fillId="2" borderId="3" applyAlignment="1" pivotButton="0" quotePrefix="0" xfId="3">
      <alignment horizontal="center" vertical="center"/>
    </xf>
    <xf numFmtId="0" fontId="9" fillId="2" borderId="4" applyAlignment="1" pivotButton="0" quotePrefix="0" xfId="3">
      <alignment horizontal="center" vertical="center"/>
    </xf>
    <xf numFmtId="0" fontId="7" fillId="2" borderId="4" applyAlignment="1" pivotButton="0" quotePrefix="0" xfId="3">
      <alignment horizontal="center" vertical="center"/>
    </xf>
    <xf numFmtId="0" fontId="11" fillId="2" borderId="5" applyAlignment="1" pivotButton="0" quotePrefix="0" xfId="2">
      <alignment horizontal="center" vertical="center"/>
    </xf>
    <xf numFmtId="0" fontId="8" fillId="0" borderId="0" applyAlignment="1" pivotButton="0" quotePrefix="0" xfId="3">
      <alignment horizontal="left" vertical="center"/>
    </xf>
    <xf numFmtId="0" fontId="9" fillId="0" borderId="0" applyAlignment="1" pivotButton="0" quotePrefix="0" xfId="3">
      <alignment horizontal="center" vertical="center"/>
    </xf>
    <xf numFmtId="0" fontId="7" fillId="0" borderId="0" applyAlignment="1" pivotButton="0" quotePrefix="0" xfId="3">
      <alignment horizontal="center" vertical="center"/>
    </xf>
    <xf numFmtId="0" fontId="7" fillId="2" borderId="6" applyAlignment="1" pivotButton="0" quotePrefix="0" xfId="3">
      <alignment horizontal="center" vertical="center"/>
    </xf>
    <xf numFmtId="0" fontId="7" fillId="2" borderId="7" applyAlignment="1" pivotButton="0" quotePrefix="0" xfId="3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6" fillId="0" borderId="0" applyAlignment="1" pivotButton="0" quotePrefix="0" xfId="3">
      <alignment horizontal="left" vertical="top"/>
    </xf>
    <xf numFmtId="0" fontId="7" fillId="2" borderId="0" applyAlignment="1" pivotButton="0" quotePrefix="0" xfId="3">
      <alignment horizontal="center" vertical="center"/>
    </xf>
    <xf numFmtId="164" fontId="7" fillId="2" borderId="0" applyAlignment="1" pivotButton="0" quotePrefix="0" xfId="3">
      <alignment horizontal="right" vertical="center"/>
    </xf>
    <xf numFmtId="164" fontId="13" fillId="0" borderId="10" applyAlignment="1" pivotButton="0" quotePrefix="0" xfId="3">
      <alignment horizontal="center" vertical="center"/>
    </xf>
    <xf numFmtId="164" fontId="13" fillId="0" borderId="0" applyAlignment="1" pivotButton="0" quotePrefix="0" xfId="3">
      <alignment horizontal="center" vertical="center"/>
    </xf>
    <xf numFmtId="164" fontId="13" fillId="0" borderId="0" applyAlignment="1" pivotButton="0" quotePrefix="0" xfId="3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6" fillId="4" borderId="12" applyAlignment="1" pivotButton="0" quotePrefix="0" xfId="0">
      <alignment horizontal="left" vertical="center"/>
    </xf>
    <xf numFmtId="0" fontId="6" fillId="4" borderId="13" applyAlignment="1" pivotButton="0" quotePrefix="0" xfId="0">
      <alignment horizontal="left" vertical="center"/>
    </xf>
    <xf numFmtId="165" fontId="6" fillId="4" borderId="14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5" fontId="15" fillId="4" borderId="1" applyAlignment="1" pivotButton="0" quotePrefix="0" xfId="0">
      <alignment horizontal="right" vertical="center"/>
    </xf>
    <xf numFmtId="164" fontId="6" fillId="0" borderId="10" applyAlignment="1" pivotButton="0" quotePrefix="0" xfId="3">
      <alignment horizontal="left" vertical="center"/>
    </xf>
    <xf numFmtId="164" fontId="7" fillId="0" borderId="0" applyAlignment="1" pivotButton="0" quotePrefix="0" xfId="3">
      <alignment horizontal="center" vertical="center"/>
    </xf>
    <xf numFmtId="164" fontId="7" fillId="0" borderId="11" applyAlignment="1" pivotButton="0" quotePrefix="0" xfId="3">
      <alignment horizontal="right" vertical="center"/>
    </xf>
    <xf numFmtId="164" fontId="13" fillId="3" borderId="15" applyAlignment="1" pivotButton="0" quotePrefix="0" xfId="3">
      <alignment horizontal="center" vertical="center"/>
    </xf>
    <xf numFmtId="164" fontId="13" fillId="3" borderId="16" applyAlignment="1" pivotButton="0" quotePrefix="0" xfId="3">
      <alignment horizontal="center" vertical="center"/>
    </xf>
    <xf numFmtId="164" fontId="13" fillId="3" borderId="16" applyAlignment="1" pivotButton="0" quotePrefix="0" xfId="3">
      <alignment horizontal="center" vertical="center" wrapText="1"/>
    </xf>
    <xf numFmtId="0" fontId="13" fillId="3" borderId="16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 wrapText="1"/>
    </xf>
    <xf numFmtId="0" fontId="13" fillId="3" borderId="17" applyAlignment="1" pivotButton="0" quotePrefix="0" xfId="0">
      <alignment horizontal="center" vertical="center" wrapText="1"/>
    </xf>
    <xf numFmtId="0" fontId="13" fillId="3" borderId="17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4" fontId="13" fillId="5" borderId="21" applyAlignment="1" pivotButton="0" quotePrefix="0" xfId="3">
      <alignment vertical="center"/>
    </xf>
    <xf numFmtId="164" fontId="13" fillId="5" borderId="22" applyAlignment="1" pivotButton="0" quotePrefix="0" xfId="3">
      <alignment vertical="center"/>
    </xf>
    <xf numFmtId="164" fontId="13" fillId="5" borderId="22" applyAlignment="1" pivotButton="0" quotePrefix="0" xfId="3">
      <alignment horizontal="center" vertical="center"/>
    </xf>
    <xf numFmtId="164" fontId="16" fillId="2" borderId="20" applyAlignment="1" pivotButton="0" quotePrefix="0" xfId="3">
      <alignment vertical="center" wrapText="1"/>
    </xf>
    <xf numFmtId="164" fontId="16" fillId="2" borderId="20" applyAlignment="1" pivotButton="0" quotePrefix="0" xfId="3">
      <alignment horizontal="left" vertical="center" wrapText="1"/>
    </xf>
    <xf numFmtId="3" fontId="16" fillId="2" borderId="20" applyAlignment="1" pivotButton="0" quotePrefix="0" xfId="0">
      <alignment vertical="center"/>
    </xf>
    <xf numFmtId="166" fontId="16" fillId="2" borderId="20" applyAlignment="1" pivotButton="0" quotePrefix="0" xfId="0">
      <alignment horizontal="right" vertical="center"/>
    </xf>
    <xf numFmtId="166" fontId="16" fillId="2" borderId="20" applyAlignment="1" pivotButton="0" quotePrefix="0" xfId="3">
      <alignment horizontal="right" vertical="center"/>
    </xf>
    <xf numFmtId="164" fontId="16" fillId="2" borderId="20" applyAlignment="1" pivotButton="0" quotePrefix="0" xfId="3">
      <alignment horizontal="center" vertical="center"/>
    </xf>
    <xf numFmtId="3" fontId="16" fillId="2" borderId="20" applyAlignment="1" pivotButton="0" quotePrefix="0" xfId="3">
      <alignment horizontal="right" vertical="center"/>
    </xf>
    <xf numFmtId="164" fontId="5" fillId="0" borderId="0" applyAlignment="1" pivotButton="0" quotePrefix="0" xfId="3">
      <alignment vertical="center"/>
    </xf>
    <xf numFmtId="164" fontId="16" fillId="2" borderId="20" applyAlignment="1" pivotButton="0" quotePrefix="0" xfId="3">
      <alignment vertical="center"/>
    </xf>
    <xf numFmtId="164" fontId="16" fillId="2" borderId="29" applyAlignment="1" pivotButton="0" quotePrefix="0" xfId="3">
      <alignment horizontal="center" vertical="center"/>
    </xf>
    <xf numFmtId="164" fontId="16" fillId="2" borderId="24" applyAlignment="1" pivotButton="0" quotePrefix="0" xfId="3">
      <alignment horizontal="center" vertical="center"/>
    </xf>
    <xf numFmtId="164" fontId="16" fillId="2" borderId="20" applyAlignment="1" pivotButton="0" quotePrefix="0" xfId="3">
      <alignment horizontal="right" vertical="center"/>
    </xf>
    <xf numFmtId="164" fontId="13" fillId="5" borderId="22" applyAlignment="1" pivotButton="0" quotePrefix="0" xfId="0">
      <alignment vertical="center"/>
    </xf>
    <xf numFmtId="164" fontId="5" fillId="0" borderId="0" applyAlignment="1" pivotButton="0" quotePrefix="0" xfId="3">
      <alignment vertical="center" wrapText="1"/>
    </xf>
    <xf numFmtId="3" fontId="17" fillId="6" borderId="26" applyAlignment="1" pivotButton="0" quotePrefix="0" xfId="0">
      <alignment horizontal="right" vertical="center"/>
    </xf>
    <xf numFmtId="3" fontId="17" fillId="6" borderId="26" applyAlignment="1" pivotButton="0" quotePrefix="0" xfId="3">
      <alignment horizontal="right" vertical="center"/>
    </xf>
    <xf numFmtId="164" fontId="16" fillId="2" borderId="19" applyAlignment="1" pivotButton="0" quotePrefix="0" xfId="3">
      <alignment horizontal="center" vertical="center"/>
    </xf>
    <xf numFmtId="164" fontId="16" fillId="2" borderId="28" applyAlignment="1" pivotButton="0" quotePrefix="0" xfId="3">
      <alignment horizontal="center" vertical="center"/>
    </xf>
    <xf numFmtId="164" fontId="16" fillId="2" borderId="29" applyAlignment="1" pivotButton="0" quotePrefix="0" xfId="3">
      <alignment horizontal="center" vertical="center"/>
    </xf>
    <xf numFmtId="0" fontId="16" fillId="2" borderId="19" applyAlignment="1" pivotButton="0" quotePrefix="0" xfId="0">
      <alignment horizontal="center" vertical="center"/>
    </xf>
    <xf numFmtId="0" fontId="16" fillId="2" borderId="28" applyAlignment="1" pivotButton="0" quotePrefix="0" xfId="0">
      <alignment horizontal="center" vertical="center"/>
    </xf>
    <xf numFmtId="0" fontId="16" fillId="2" borderId="29" applyAlignment="1" pivotButton="0" quotePrefix="0" xfId="0">
      <alignment horizontal="center" vertical="center"/>
    </xf>
    <xf numFmtId="0" fontId="10" fillId="0" borderId="27" applyAlignment="1" pivotButton="0" quotePrefix="0" xfId="0">
      <alignment horizontal="center" vertical="center"/>
    </xf>
    <xf numFmtId="164" fontId="10" fillId="6" borderId="25" applyAlignment="1" pivotButton="0" quotePrefix="0" xfId="3">
      <alignment horizontal="right" vertical="center"/>
    </xf>
    <xf numFmtId="164" fontId="16" fillId="2" borderId="24" applyAlignment="1" pivotButton="0" quotePrefix="0" xfId="3">
      <alignment vertical="center"/>
    </xf>
    <xf numFmtId="164" fontId="16" fillId="2" borderId="31" applyAlignment="1" pivotButton="0" quotePrefix="0" xfId="3">
      <alignment vertical="center"/>
    </xf>
    <xf numFmtId="164" fontId="9" fillId="0" borderId="23" applyAlignment="1" pivotButton="0" quotePrefix="0" xfId="3">
      <alignment horizontal="center" vertical="center"/>
    </xf>
    <xf numFmtId="165" fontId="6" fillId="0" borderId="1" applyAlignment="1" pivotButton="0" quotePrefix="0" xfId="0">
      <alignment horizontal="left" vertical="center"/>
    </xf>
    <xf numFmtId="0" fontId="15" fillId="4" borderId="12" applyAlignment="1" pivotButton="0" quotePrefix="0" xfId="0">
      <alignment horizontal="center" vertical="center"/>
    </xf>
    <xf numFmtId="9" fontId="15" fillId="0" borderId="1" applyAlignment="1" pivotButton="0" quotePrefix="0" xfId="1">
      <alignment horizontal="center" vertical="center"/>
    </xf>
    <xf numFmtId="164" fontId="12" fillId="3" borderId="30" applyAlignment="1" pivotButton="0" quotePrefix="0" xfId="3">
      <alignment horizontal="center" vertical="center"/>
    </xf>
    <xf numFmtId="0" fontId="9" fillId="0" borderId="18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164" fontId="4" fillId="0" borderId="0" applyAlignment="1" pivotButton="0" quotePrefix="0" xfId="3">
      <alignment horizontal="center" vertical="center"/>
    </xf>
    <xf numFmtId="0" fontId="10" fillId="2" borderId="1" applyAlignment="1" pivotButton="0" quotePrefix="0" xfId="3">
      <alignment horizontal="center" vertical="center" wrapText="1"/>
    </xf>
    <xf numFmtId="0" fontId="9" fillId="2" borderId="1" applyAlignment="1" pivotButton="0" quotePrefix="0" xfId="3">
      <alignment horizontal="center" vertical="center"/>
    </xf>
    <xf numFmtId="0" fontId="5" fillId="2" borderId="1" applyAlignment="1" pivotButton="0" quotePrefix="0" xfId="3">
      <alignment horizontal="left" vertical="center"/>
    </xf>
    <xf numFmtId="164" fontId="12" fillId="3" borderId="9" applyAlignment="1" pivotButton="0" quotePrefix="0" xfId="3">
      <alignment horizontal="center" vertical="center"/>
    </xf>
    <xf numFmtId="167" fontId="8" fillId="0" borderId="0" applyAlignment="1" pivotButton="0" quotePrefix="0" xfId="3">
      <alignment horizontal="left" vertical="center"/>
    </xf>
    <xf numFmtId="164" fontId="10" fillId="0" borderId="32" applyAlignment="1" pivotButton="0" quotePrefix="0" xfId="3">
      <alignment horizontal="left" vertical="center"/>
    </xf>
    <xf numFmtId="164" fontId="10" fillId="0" borderId="33" applyAlignment="1" pivotButton="0" quotePrefix="0" xfId="3">
      <alignment horizontal="left" vertical="center"/>
    </xf>
    <xf numFmtId="0" fontId="16" fillId="2" borderId="35" applyAlignment="1" pivotButton="0" quotePrefix="0" xfId="0">
      <alignment horizontal="center" vertical="center"/>
    </xf>
    <xf numFmtId="164" fontId="16" fillId="2" borderId="35" applyAlignment="1" pivotButton="0" quotePrefix="0" xfId="3">
      <alignment horizontal="center" vertical="center"/>
    </xf>
    <xf numFmtId="0" fontId="16" fillId="2" borderId="12" pivotButton="0" quotePrefix="0" xfId="0"/>
    <xf numFmtId="0" fontId="16" fillId="2" borderId="13" pivotButton="0" quotePrefix="0" xfId="0"/>
    <xf numFmtId="0" fontId="16" fillId="2" borderId="14" pivotButton="0" quotePrefix="0" xfId="0"/>
    <xf numFmtId="164" fontId="10" fillId="0" borderId="32" applyAlignment="1" pivotButton="0" quotePrefix="0" xfId="3">
      <alignment vertical="center"/>
    </xf>
    <xf numFmtId="164" fontId="10" fillId="0" borderId="33" applyAlignment="1" pivotButton="0" quotePrefix="0" xfId="3">
      <alignment vertical="center"/>
    </xf>
    <xf numFmtId="164" fontId="10" fillId="0" borderId="38" applyAlignment="1" pivotButton="0" quotePrefix="0" xfId="3">
      <alignment vertical="center"/>
    </xf>
    <xf numFmtId="164" fontId="10" fillId="0" borderId="39" applyAlignment="1" pivotButton="0" quotePrefix="0" xfId="3">
      <alignment vertical="center"/>
    </xf>
    <xf numFmtId="164" fontId="13" fillId="5" borderId="21" applyAlignment="1" pivotButton="0" quotePrefix="0" xfId="3">
      <alignment vertical="center"/>
    </xf>
    <xf numFmtId="164" fontId="18" fillId="7" borderId="29" applyAlignment="1" pivotButton="0" quotePrefix="0" xfId="3">
      <alignment vertical="center"/>
    </xf>
    <xf numFmtId="164" fontId="18" fillId="7" borderId="20" applyAlignment="1" pivotButton="0" quotePrefix="0" xfId="3">
      <alignment vertical="center" wrapText="1"/>
    </xf>
    <xf numFmtId="164" fontId="18" fillId="7" borderId="20" applyAlignment="1" pivotButton="0" quotePrefix="0" xfId="3">
      <alignment horizontal="left" vertical="center" wrapText="1"/>
    </xf>
    <xf numFmtId="3" fontId="18" fillId="7" borderId="20" applyAlignment="1" pivotButton="0" quotePrefix="0" xfId="0">
      <alignment vertical="center"/>
    </xf>
    <xf numFmtId="164" fontId="18" fillId="7" borderId="20" applyAlignment="1" pivotButton="0" quotePrefix="0" xfId="3">
      <alignment horizontal="right" vertical="center"/>
    </xf>
    <xf numFmtId="164" fontId="18" fillId="7" borderId="20" applyAlignment="1" pivotButton="0" quotePrefix="0" xfId="3">
      <alignment horizontal="center" vertical="center"/>
    </xf>
    <xf numFmtId="3" fontId="18" fillId="7" borderId="20" applyAlignment="1" pivotButton="0" quotePrefix="0" xfId="3">
      <alignment horizontal="right" vertical="center"/>
    </xf>
    <xf numFmtId="164" fontId="9" fillId="0" borderId="36" applyAlignment="1" pivotButton="0" quotePrefix="0" xfId="3">
      <alignment vertical="center"/>
    </xf>
    <xf numFmtId="164" fontId="9" fillId="0" borderId="37" applyAlignment="1" pivotButton="0" quotePrefix="0" xfId="3">
      <alignment vertical="center"/>
    </xf>
    <xf numFmtId="164" fontId="18" fillId="7" borderId="24" applyAlignment="1" pivotButton="0" quotePrefix="0" xfId="3">
      <alignment horizontal="center" vertical="center"/>
    </xf>
    <xf numFmtId="166" fontId="18" fillId="7" borderId="20" applyAlignment="1" pivotButton="0" quotePrefix="0" xfId="3">
      <alignment horizontal="right" vertical="center"/>
    </xf>
    <xf numFmtId="9" fontId="5" fillId="0" borderId="40" applyAlignment="1" pivotButton="0" quotePrefix="0" xfId="1">
      <alignment vertical="center"/>
    </xf>
    <xf numFmtId="164" fontId="16" fillId="2" borderId="34" applyAlignment="1" pivotButton="0" quotePrefix="0" xfId="3">
      <alignment horizontal="center" vertical="center"/>
    </xf>
    <xf numFmtId="164" fontId="16" fillId="2" borderId="41" applyAlignment="1" pivotButton="0" quotePrefix="0" xfId="3">
      <alignment horizontal="center" vertical="center"/>
    </xf>
    <xf numFmtId="164" fontId="16" fillId="2" borderId="41" applyAlignment="1" pivotButton="0" quotePrefix="0" xfId="3">
      <alignment horizontal="center" vertical="center"/>
    </xf>
    <xf numFmtId="164" fontId="16" fillId="2" borderId="42" applyAlignment="1" pivotButton="0" quotePrefix="0" xfId="3">
      <alignment horizontal="center" vertical="center"/>
    </xf>
    <xf numFmtId="164" fontId="5" fillId="0" borderId="0" applyAlignment="1" pivotButton="0" quotePrefix="0" xfId="3">
      <alignment vertical="center"/>
    </xf>
    <xf numFmtId="164" fontId="5" fillId="0" borderId="0" applyAlignment="1" pivotButton="0" quotePrefix="0" xfId="3">
      <alignment vertical="center" wrapText="1"/>
    </xf>
    <xf numFmtId="0" fontId="0" fillId="0" borderId="0" pivotButton="0" quotePrefix="0" xfId="0"/>
    <xf numFmtId="164" fontId="4" fillId="0" borderId="0" applyAlignment="1" pivotButton="0" quotePrefix="0" xfId="3">
      <alignment horizontal="center" vertical="center"/>
    </xf>
    <xf numFmtId="164" fontId="6" fillId="0" borderId="0" applyAlignment="1" pivotButton="0" quotePrefix="0" xfId="3">
      <alignment horizontal="left" vertical="center"/>
    </xf>
    <xf numFmtId="164" fontId="7" fillId="0" borderId="0" applyAlignment="1" pivotButton="0" quotePrefix="0" xfId="3">
      <alignment vertical="center" wrapText="1"/>
    </xf>
    <xf numFmtId="164" fontId="7" fillId="2" borderId="0" applyAlignment="1" pivotButton="0" quotePrefix="0" xfId="3">
      <alignment vertical="center"/>
    </xf>
    <xf numFmtId="164" fontId="8" fillId="0" borderId="0" applyAlignment="1" pivotButton="0" quotePrefix="0" xfId="3">
      <alignment horizontal="center" vertical="center"/>
    </xf>
    <xf numFmtId="164" fontId="7" fillId="0" borderId="0" applyAlignment="1" pivotButton="0" quotePrefix="0" xfId="3">
      <alignment horizontal="right" vertical="center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51" pivotButton="0" quotePrefix="0" xfId="0"/>
    <xf numFmtId="167" fontId="8" fillId="0" borderId="0" applyAlignment="1" pivotButton="0" quotePrefix="0" xfId="3">
      <alignment horizontal="left" vertical="center"/>
    </xf>
    <xf numFmtId="0" fontId="0" fillId="0" borderId="52" pivotButton="0" quotePrefix="0" xfId="0"/>
    <xf numFmtId="164" fontId="7" fillId="2" borderId="0" applyAlignment="1" pivotButton="0" quotePrefix="0" xfId="3">
      <alignment horizontal="right" vertical="center"/>
    </xf>
    <xf numFmtId="164" fontId="12" fillId="3" borderId="9" applyAlignment="1" pivotButton="0" quotePrefix="0" xfId="3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164" fontId="13" fillId="0" borderId="10" applyAlignment="1" pivotButton="0" quotePrefix="0" xfId="3">
      <alignment horizontal="center" vertical="center"/>
    </xf>
    <xf numFmtId="164" fontId="13" fillId="0" borderId="0" applyAlignment="1" pivotButton="0" quotePrefix="0" xfId="3">
      <alignment horizontal="center" vertical="center"/>
    </xf>
    <xf numFmtId="164" fontId="13" fillId="0" borderId="0" applyAlignment="1" pivotButton="0" quotePrefix="0" xfId="3">
      <alignment horizontal="center" vertical="center" wrapText="1"/>
    </xf>
    <xf numFmtId="165" fontId="6" fillId="4" borderId="14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left" vertical="center"/>
    </xf>
    <xf numFmtId="165" fontId="14" fillId="0" borderId="1" applyAlignment="1" pivotButton="0" quotePrefix="0" xfId="0">
      <alignment horizontal="center" vertical="center"/>
    </xf>
    <xf numFmtId="165" fontId="15" fillId="4" borderId="1" applyAlignment="1" pivotButton="0" quotePrefix="0" xfId="0">
      <alignment horizontal="right" vertical="center"/>
    </xf>
    <xf numFmtId="164" fontId="6" fillId="0" borderId="10" applyAlignment="1" pivotButton="0" quotePrefix="0" xfId="3">
      <alignment horizontal="left" vertical="center"/>
    </xf>
    <xf numFmtId="164" fontId="7" fillId="0" borderId="0" applyAlignment="1" pivotButton="0" quotePrefix="0" xfId="3">
      <alignment horizontal="center" vertical="center"/>
    </xf>
    <xf numFmtId="164" fontId="7" fillId="0" borderId="11" applyAlignment="1" pivotButton="0" quotePrefix="0" xfId="3">
      <alignment horizontal="right" vertical="center"/>
    </xf>
    <xf numFmtId="164" fontId="12" fillId="3" borderId="30" applyAlignment="1" pivotButton="0" quotePrefix="0" xfId="3">
      <alignment horizontal="center" vertical="center"/>
    </xf>
    <xf numFmtId="0" fontId="0" fillId="0" borderId="57" pivotButton="0" quotePrefix="0" xfId="0"/>
    <xf numFmtId="0" fontId="0" fillId="0" borderId="58" pivotButton="0" quotePrefix="0" xfId="0"/>
    <xf numFmtId="164" fontId="13" fillId="3" borderId="15" applyAlignment="1" pivotButton="0" quotePrefix="0" xfId="3">
      <alignment horizontal="center" vertical="center"/>
    </xf>
    <xf numFmtId="164" fontId="13" fillId="3" borderId="16" applyAlignment="1" pivotButton="0" quotePrefix="0" xfId="3">
      <alignment horizontal="center" vertical="center"/>
    </xf>
    <xf numFmtId="164" fontId="13" fillId="3" borderId="16" applyAlignment="1" pivotButton="0" quotePrefix="0" xfId="3">
      <alignment horizontal="center" vertical="center" wrapText="1"/>
    </xf>
    <xf numFmtId="0" fontId="0" fillId="0" borderId="59" pivotButton="0" quotePrefix="0" xfId="0"/>
    <xf numFmtId="164" fontId="13" fillId="5" borderId="21" applyAlignment="1" pivotButton="0" quotePrefix="0" xfId="3">
      <alignment vertical="center"/>
    </xf>
    <xf numFmtId="164" fontId="13" fillId="5" borderId="22" applyAlignment="1" pivotButton="0" quotePrefix="0" xfId="3">
      <alignment vertical="center"/>
    </xf>
    <xf numFmtId="164" fontId="13" fillId="5" borderId="22" applyAlignment="1" pivotButton="0" quotePrefix="0" xfId="3">
      <alignment horizontal="center" vertical="center"/>
    </xf>
    <xf numFmtId="164" fontId="9" fillId="0" borderId="23" applyAlignment="1" pivotButton="0" quotePrefix="0" xfId="3">
      <alignment horizontal="center" vertical="center"/>
    </xf>
    <xf numFmtId="0" fontId="0" fillId="0" borderId="37" pivotButton="0" quotePrefix="0" xfId="0"/>
    <xf numFmtId="164" fontId="16" fillId="2" borderId="34" applyAlignment="1" pivotButton="0" quotePrefix="0" xfId="3">
      <alignment horizontal="center" vertical="center"/>
    </xf>
    <xf numFmtId="164" fontId="16" fillId="2" borderId="20" applyAlignment="1" pivotButton="0" quotePrefix="0" xfId="3">
      <alignment vertical="center" wrapText="1"/>
    </xf>
    <xf numFmtId="164" fontId="16" fillId="2" borderId="20" applyAlignment="1" pivotButton="0" quotePrefix="0" xfId="3">
      <alignment horizontal="left" vertical="center" wrapText="1"/>
    </xf>
    <xf numFmtId="166" fontId="16" fillId="2" borderId="20" applyAlignment="1" pivotButton="0" quotePrefix="0" xfId="0">
      <alignment horizontal="right" vertical="center"/>
    </xf>
    <xf numFmtId="166" fontId="16" fillId="2" borderId="20" applyAlignment="1" pivotButton="0" quotePrefix="0" xfId="3">
      <alignment horizontal="right" vertical="center"/>
    </xf>
    <xf numFmtId="164" fontId="16" fillId="2" borderId="20" applyAlignment="1" pivotButton="0" quotePrefix="0" xfId="3">
      <alignment horizontal="center" vertical="center"/>
    </xf>
    <xf numFmtId="164" fontId="10" fillId="0" borderId="47" applyAlignment="1" pivotButton="0" quotePrefix="0" xfId="3">
      <alignment horizontal="left" vertical="center"/>
    </xf>
    <xf numFmtId="0" fontId="0" fillId="0" borderId="33" pivotButton="0" quotePrefix="0" xfId="0"/>
    <xf numFmtId="0" fontId="0" fillId="0" borderId="35" pivotButton="0" quotePrefix="0" xfId="0"/>
    <xf numFmtId="164" fontId="16" fillId="2" borderId="20" applyAlignment="1" pivotButton="0" quotePrefix="0" xfId="3">
      <alignment vertical="center"/>
    </xf>
    <xf numFmtId="164" fontId="16" fillId="2" borderId="29" applyAlignment="1" pivotButton="0" quotePrefix="0" xfId="3">
      <alignment horizontal="center" vertical="center"/>
    </xf>
    <xf numFmtId="0" fontId="16" fillId="2" borderId="24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16" fillId="2" borderId="34" applyAlignment="1" pivotButton="0" quotePrefix="0" xfId="0">
      <alignment horizontal="center" vertical="center"/>
    </xf>
    <xf numFmtId="164" fontId="10" fillId="6" borderId="25" applyAlignment="1" pivotButton="0" quotePrefix="0" xfId="3">
      <alignment horizontal="right" vertical="center"/>
    </xf>
    <xf numFmtId="0" fontId="0" fillId="0" borderId="45" pivotButton="0" quotePrefix="0" xfId="0"/>
    <xf numFmtId="0" fontId="0" fillId="0" borderId="46" pivotButton="0" quotePrefix="0" xfId="0"/>
    <xf numFmtId="0" fontId="0" fillId="0" borderId="39" pivotButton="0" quotePrefix="0" xfId="0"/>
    <xf numFmtId="164" fontId="16" fillId="2" borderId="24" applyAlignment="1" pivotButton="0" quotePrefix="0" xfId="3">
      <alignment vertical="center"/>
    </xf>
    <xf numFmtId="0" fontId="0" fillId="0" borderId="40" pivotButton="0" quotePrefix="0" xfId="0"/>
    <xf numFmtId="0" fontId="0" fillId="0" borderId="60" pivotButton="0" quotePrefix="0" xfId="0"/>
    <xf numFmtId="164" fontId="13" fillId="5" borderId="22" applyAlignment="1" pivotButton="0" quotePrefix="0" xfId="0">
      <alignment vertical="center"/>
    </xf>
    <xf numFmtId="164" fontId="10" fillId="0" borderId="32" applyAlignment="1" pivotButton="0" quotePrefix="0" xfId="3">
      <alignment vertical="center"/>
    </xf>
    <xf numFmtId="164" fontId="10" fillId="0" borderId="33" applyAlignment="1" pivotButton="0" quotePrefix="0" xfId="3">
      <alignment vertical="center"/>
    </xf>
    <xf numFmtId="164" fontId="18" fillId="7" borderId="29" applyAlignment="1" pivotButton="0" quotePrefix="0" xfId="3">
      <alignment vertical="center"/>
    </xf>
    <xf numFmtId="164" fontId="18" fillId="7" borderId="20" applyAlignment="1" pivotButton="0" quotePrefix="0" xfId="3">
      <alignment vertical="center" wrapText="1"/>
    </xf>
    <xf numFmtId="164" fontId="18" fillId="7" borderId="20" applyAlignment="1" pivotButton="0" quotePrefix="0" xfId="3">
      <alignment horizontal="left" vertical="center" wrapText="1"/>
    </xf>
    <xf numFmtId="164" fontId="18" fillId="7" borderId="20" applyAlignment="1" pivotButton="0" quotePrefix="0" xfId="3">
      <alignment horizontal="right" vertical="center"/>
    </xf>
    <xf numFmtId="164" fontId="18" fillId="7" borderId="20" applyAlignment="1" pivotButton="0" quotePrefix="0" xfId="3">
      <alignment horizontal="center" vertical="center"/>
    </xf>
    <xf numFmtId="164" fontId="9" fillId="0" borderId="36" applyAlignment="1" pivotButton="0" quotePrefix="0" xfId="3">
      <alignment vertical="center"/>
    </xf>
    <xf numFmtId="164" fontId="9" fillId="0" borderId="37" applyAlignment="1" pivotButton="0" quotePrefix="0" xfId="3">
      <alignment vertical="center"/>
    </xf>
    <xf numFmtId="164" fontId="16" fillId="2" borderId="24" applyAlignment="1" pivotButton="0" quotePrefix="0" xfId="3">
      <alignment horizontal="center" vertical="center"/>
    </xf>
    <xf numFmtId="164" fontId="16" fillId="2" borderId="20" applyAlignment="1" pivotButton="0" quotePrefix="0" xfId="3">
      <alignment horizontal="right" vertical="center"/>
    </xf>
    <xf numFmtId="164" fontId="18" fillId="7" borderId="24" applyAlignment="1" pivotButton="0" quotePrefix="0" xfId="3">
      <alignment horizontal="center" vertical="center"/>
    </xf>
    <xf numFmtId="166" fontId="18" fillId="7" borderId="20" applyAlignment="1" pivotButton="0" quotePrefix="0" xfId="3">
      <alignment horizontal="right" vertical="center"/>
    </xf>
    <xf numFmtId="164" fontId="10" fillId="0" borderId="38" applyAlignment="1" pivotButton="0" quotePrefix="0" xfId="3">
      <alignment vertical="center"/>
    </xf>
    <xf numFmtId="164" fontId="10" fillId="0" borderId="39" applyAlignment="1" pivotButton="0" quotePrefix="0" xfId="3">
      <alignment vertical="center"/>
    </xf>
    <xf numFmtId="164" fontId="16" fillId="2" borderId="41" applyAlignment="1" pivotButton="0" quotePrefix="0" xfId="3">
      <alignment horizontal="center" vertical="center"/>
    </xf>
    <xf numFmtId="164" fontId="16" fillId="2" borderId="42" applyAlignment="1" pivotButton="0" quotePrefix="0" xfId="3">
      <alignment horizontal="center" vertical="center"/>
    </xf>
  </cellXfs>
  <cellStyles count="4">
    <cellStyle name="표준" xfId="0" builtinId="0"/>
    <cellStyle name="백분율" xfId="1" builtinId="5"/>
    <cellStyle name="하이퍼링크" xfId="2" builtinId="8"/>
    <cellStyle name="Excel Built-in Comma [0]" xfId="3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10</col>
      <colOff>1085400</colOff>
      <row>2</row>
      <rowOff>52200</rowOff>
    </from>
    <to>
      <col>11</col>
      <colOff>7560</colOff>
      <row>4</row>
      <rowOff>238898</rowOff>
    </to>
    <pic>
      <nvPicPr>
        <cNvPr id="2" name="그림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6693200" y="823680"/>
          <a:ext cx="1136880" cy="833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jason@mnccom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A1:K121"/>
  <sheetViews>
    <sheetView tabSelected="1" zoomScale="70" zoomScaleNormal="70" workbookViewId="0">
      <selection activeCell="C7" sqref="C7"/>
    </sheetView>
  </sheetViews>
  <sheetFormatPr baseColWidth="8" defaultColWidth="8.83203125" defaultRowHeight="25" customHeight="1"/>
  <cols>
    <col width="13.6640625" customWidth="1" style="125" min="1" max="1"/>
    <col width="21.08203125" customWidth="1" style="125" min="2" max="2"/>
    <col width="56.5" customWidth="1" style="126" min="3" max="3"/>
    <col width="13.75" customWidth="1" style="1" min="4" max="4"/>
    <col width="9.6640625" customWidth="1" style="1" min="5" max="5"/>
    <col width="7.75" customWidth="1" style="1" min="6" max="6"/>
    <col width="8.33203125" customWidth="1" style="1" min="7" max="7"/>
    <col width="8.75" customWidth="1" style="1" min="8" max="8"/>
    <col width="25.08203125" customWidth="1" style="1" min="9" max="9"/>
    <col width="11" customWidth="1" style="1" min="10" max="10"/>
    <col width="24.9140625" customWidth="1" style="125" min="11" max="11"/>
    <col width="14.08203125" customWidth="1" style="1" min="12" max="12"/>
    <col width="10.33203125" customWidth="1" style="1" min="13" max="13"/>
    <col width="8.83203125" customWidth="1" style="1" min="14" max="16384"/>
  </cols>
  <sheetData>
    <row r="1" ht="37.5" customHeight="1" s="127">
      <c r="A1" s="128" t="inlineStr">
        <is>
          <t>Estimates (최종 산출내역서)</t>
        </is>
      </c>
    </row>
    <row r="2" ht="25" customFormat="1" customHeight="1" s="5">
      <c r="A2" s="129" t="n"/>
      <c r="B2" s="3" t="n"/>
      <c r="C2" s="130" t="n"/>
      <c r="F2" s="6" t="n"/>
      <c r="G2" s="6" t="n"/>
      <c r="H2" s="6" t="n"/>
      <c r="I2" s="6" t="n"/>
      <c r="J2" s="6" t="n"/>
      <c r="K2" s="131" t="n"/>
    </row>
    <row r="3" ht="25" customFormat="1" customHeight="1" s="5">
      <c r="A3" s="132" t="inlineStr">
        <is>
          <t>행 사 명</t>
        </is>
      </c>
      <c r="B3" s="9" t="inlineStr">
        <is>
          <t>2026 관광공모전(기념품부문) 및 관광기념품 박람회 운영 대행</t>
        </is>
      </c>
      <c r="C3" s="133" t="n"/>
      <c r="D3" s="11" t="n"/>
      <c r="E3" s="11" t="n"/>
      <c r="F3" s="12" t="n"/>
      <c r="G3" s="92" t="inlineStr">
        <is>
          <t>공
급
자</t>
        </is>
      </c>
      <c r="H3" s="13" t="inlineStr">
        <is>
          <t>상      호</t>
        </is>
      </c>
      <c r="I3" s="93" t="inlineStr">
        <is>
          <t>(외부 주입 - 공급자 상호)</t>
        </is>
      </c>
      <c r="J3" s="134" t="n"/>
      <c r="K3" s="135" t="n"/>
    </row>
    <row r="4" ht="25" customFormat="1" customHeight="1" s="5">
      <c r="A4" s="132" t="inlineStr">
        <is>
          <t>고 객 명</t>
        </is>
      </c>
      <c r="B4" s="9" t="inlineStr">
        <is>
          <t>한국관광공사</t>
        </is>
      </c>
      <c r="C4" s="133" t="n"/>
      <c r="D4" s="14" t="n"/>
      <c r="E4" s="14" t="n"/>
      <c r="F4" s="12" t="n"/>
      <c r="G4" s="136" t="n"/>
      <c r="H4" s="13" t="inlineStr">
        <is>
          <t>등록번호</t>
        </is>
      </c>
      <c r="I4" s="13" t="inlineStr">
        <is>
          <t>(외부 주입 - 사업자번호)</t>
        </is>
      </c>
      <c r="J4" s="13" t="inlineStr">
        <is>
          <t>대     표</t>
        </is>
      </c>
      <c r="K4" s="15" t="inlineStr">
        <is>
          <t>(외부 주입 - 대표자)</t>
        </is>
      </c>
    </row>
    <row r="5" ht="25" customFormat="1" customHeight="1" s="5">
      <c r="A5" s="132" t="inlineStr">
        <is>
          <t>일     시</t>
        </is>
      </c>
      <c r="B5" s="9" t="inlineStr">
        <is>
          <t>계약체결일~'26.12.16</t>
        </is>
      </c>
      <c r="C5" s="133" t="n"/>
      <c r="D5" s="14" t="n"/>
      <c r="E5" s="14" t="n"/>
      <c r="F5" s="12" t="n"/>
      <c r="G5" s="136" t="n"/>
      <c r="H5" s="13" t="inlineStr">
        <is>
          <t>주     소</t>
        </is>
      </c>
      <c r="I5" s="94" t="inlineStr">
        <is>
          <t>(외부 주입 - 주소)</t>
        </is>
      </c>
      <c r="J5" s="134" t="n"/>
      <c r="K5" s="135" t="n"/>
    </row>
    <row r="6" ht="25" customFormat="1" customHeight="1" s="5">
      <c r="A6" s="132" t="inlineStr">
        <is>
          <t>장     소</t>
        </is>
      </c>
      <c r="B6" s="9" t="inlineStr">
        <is>
          <t>DDP 아트홀 외</t>
        </is>
      </c>
      <c r="C6" s="133" t="n"/>
      <c r="D6" s="16" t="n"/>
      <c r="E6" s="16" t="n"/>
      <c r="F6" s="12" t="n"/>
      <c r="G6" s="136" t="n"/>
      <c r="H6" s="17" t="inlineStr">
        <is>
          <t>업     태</t>
        </is>
      </c>
      <c r="I6" s="17" t="inlineStr">
        <is>
          <t>(외부 주입 - 업태)</t>
        </is>
      </c>
      <c r="J6" s="17" t="inlineStr">
        <is>
          <t>종     목</t>
        </is>
      </c>
      <c r="K6" s="18" t="inlineStr">
        <is>
          <t>(외부 주입 - 종목)</t>
        </is>
      </c>
    </row>
    <row r="7" ht="25" customFormat="1" customHeight="1" s="5">
      <c r="A7" s="132" t="inlineStr">
        <is>
          <t>견적일시</t>
        </is>
      </c>
      <c r="B7" s="137">
        <f>TODAY()</f>
        <v/>
      </c>
      <c r="C7" s="133" t="n"/>
      <c r="D7" s="14" t="n"/>
      <c r="E7" s="14" t="n"/>
      <c r="F7" s="12" t="n"/>
      <c r="G7" s="136" t="n"/>
      <c r="H7" s="19" t="inlineStr">
        <is>
          <t>담 당 자</t>
        </is>
      </c>
      <c r="I7" s="20" t="inlineStr">
        <is>
          <t>(외부 주입 - 담당자)</t>
        </is>
      </c>
      <c r="J7" s="21" t="inlineStr">
        <is>
          <t>이 메 일</t>
        </is>
      </c>
      <c r="K7" s="22" t="inlineStr">
        <is>
          <t>(외부 주입 - 이메일)</t>
        </is>
      </c>
    </row>
    <row r="8" ht="25" customFormat="1" customHeight="1" s="5">
      <c r="A8" s="132" t="inlineStr">
        <is>
          <t>견적금액</t>
        </is>
      </c>
      <c r="B8" s="23" t="inlineStr">
        <is>
          <t>금 일십이억구천이백팔십만원 정 (￦1,292,800,000/원) 부가세 포함</t>
        </is>
      </c>
      <c r="C8" s="133" t="n"/>
      <c r="D8" s="24" t="n"/>
      <c r="E8" s="25" t="n"/>
      <c r="F8" s="12" t="n"/>
      <c r="G8" s="138" t="n"/>
      <c r="H8" s="26" t="inlineStr">
        <is>
          <t>전     화</t>
        </is>
      </c>
      <c r="I8" s="27" t="inlineStr">
        <is>
          <t>(외부 주입 - 전화)</t>
        </is>
      </c>
      <c r="J8" s="27" t="inlineStr">
        <is>
          <t>팩     스</t>
        </is>
      </c>
      <c r="K8" s="28" t="inlineStr">
        <is>
          <t>(외부 주입 - 팩스)</t>
        </is>
      </c>
    </row>
    <row r="9" ht="25" customFormat="1" customHeight="1" s="5">
      <c r="A9" s="129" t="n"/>
      <c r="B9" s="29" t="n"/>
      <c r="C9" s="133" t="n"/>
      <c r="D9" s="25" t="n"/>
      <c r="E9" s="25" t="n"/>
      <c r="F9" s="6" t="n"/>
      <c r="G9" s="6" t="n"/>
      <c r="H9" s="6" t="n"/>
      <c r="I9" s="30" t="n"/>
      <c r="J9" s="30" t="n"/>
      <c r="K9" s="139" t="n"/>
    </row>
    <row r="10" ht="25" customFormat="1" customHeight="1" s="5">
      <c r="A10" s="140" t="n"/>
      <c r="B10" s="141" t="n"/>
      <c r="C10" s="141" t="n"/>
      <c r="D10" s="141" t="n"/>
      <c r="E10" s="141" t="n"/>
      <c r="F10" s="141" t="n"/>
      <c r="G10" s="141" t="n"/>
      <c r="H10" s="141" t="n"/>
      <c r="I10" s="141" t="n"/>
      <c r="J10" s="141" t="n"/>
      <c r="K10" s="142" t="n"/>
    </row>
    <row r="11" ht="10" customFormat="1" customHeight="1" s="5">
      <c r="A11" s="143" t="n"/>
      <c r="B11" s="144" t="n"/>
      <c r="C11" s="145" t="n"/>
      <c r="D11" s="35" t="n"/>
      <c r="E11" s="35" t="n"/>
      <c r="F11" s="36" t="n"/>
      <c r="G11" s="36" t="n"/>
      <c r="H11" s="36" t="n"/>
      <c r="I11" s="35" t="n"/>
      <c r="J11" s="37" t="n"/>
      <c r="K11" s="38" t="n"/>
    </row>
    <row r="12" ht="25" customFormat="1" customHeight="1" s="5">
      <c r="A12" s="39" t="inlineStr">
        <is>
          <t>1. 합계</t>
        </is>
      </c>
      <c r="B12" s="40" t="n"/>
      <c r="C12" s="40" t="n"/>
      <c r="D12" s="40" t="n"/>
      <c r="E12" s="40" t="n"/>
      <c r="F12" s="40" t="n"/>
      <c r="G12" s="40" t="n"/>
      <c r="H12" s="146" t="n"/>
      <c r="I12" s="147">
        <f>I39+I69+I85+I97+I107+I121</f>
        <v/>
      </c>
      <c r="J12" s="148" t="n"/>
      <c r="K12" s="135" t="n"/>
    </row>
    <row r="13" ht="25" customFormat="1" customHeight="1" s="5">
      <c r="A13" s="39" t="inlineStr">
        <is>
          <t>2. 기업이윤 및 일반관리비 (국가계약법 기준에 근거)</t>
        </is>
      </c>
      <c r="B13" s="40" t="n"/>
      <c r="C13" s="40" t="n"/>
      <c r="D13" s="40" t="n"/>
      <c r="E13" s="40" t="n"/>
      <c r="F13" s="40" t="n"/>
      <c r="G13" s="40" t="n"/>
      <c r="H13" s="146" t="n"/>
      <c r="I13" s="147">
        <f>I121*0.06 + (I12+I121*0.06)*0.1</f>
        <v/>
      </c>
      <c r="J13" s="148" t="n"/>
      <c r="K13" s="135" t="n"/>
    </row>
    <row r="14" ht="25" customFormat="1" customHeight="1" s="5">
      <c r="A14" s="39" t="inlineStr">
        <is>
          <t>3. 총계 (1+2)</t>
        </is>
      </c>
      <c r="B14" s="40" t="n"/>
      <c r="C14" s="40" t="n"/>
      <c r="D14" s="40" t="n"/>
      <c r="E14" s="40" t="n"/>
      <c r="F14" s="40" t="n"/>
      <c r="G14" s="40" t="n"/>
      <c r="H14" s="146" t="n"/>
      <c r="I14" s="147">
        <f>SUM(I12:I13)</f>
        <v/>
      </c>
      <c r="J14" s="148" t="n"/>
      <c r="K14" s="135" t="n"/>
    </row>
    <row r="15" ht="25" customFormat="1" customHeight="1" s="5">
      <c r="A15" s="39" t="inlineStr">
        <is>
          <t>4. 절사/할인</t>
        </is>
      </c>
      <c r="B15" s="40" t="n"/>
      <c r="C15" s="40" t="n"/>
      <c r="D15" s="40" t="n"/>
      <c r="E15" s="40" t="n"/>
      <c r="F15" s="40" t="n"/>
      <c r="G15" s="40" t="n"/>
      <c r="H15" s="146" t="n"/>
      <c r="I15" s="147">
        <f>-(66136/1.1)</f>
        <v/>
      </c>
      <c r="J15" s="149" t="n"/>
      <c r="K15" s="135" t="n"/>
    </row>
    <row r="16" ht="25" customFormat="1" customHeight="1" s="5">
      <c r="A16" s="39" t="inlineStr">
        <is>
          <t>5. 부가세 (3+4의 10%)</t>
        </is>
      </c>
      <c r="B16" s="40" t="n"/>
      <c r="C16" s="40" t="n"/>
      <c r="D16" s="40" t="n"/>
      <c r="E16" s="40" t="n"/>
      <c r="F16" s="40" t="n"/>
      <c r="G16" s="40" t="n"/>
      <c r="H16" s="146" t="n"/>
      <c r="I16" s="147">
        <f>(I14+I15)*0.1</f>
        <v/>
      </c>
      <c r="J16" s="148" t="n"/>
      <c r="K16" s="135" t="n"/>
    </row>
    <row r="17" ht="25" customFormat="1" customHeight="1" s="5">
      <c r="A17" s="86" t="inlineStr">
        <is>
          <t>총 견적</t>
        </is>
      </c>
      <c r="B17" s="134" t="n"/>
      <c r="C17" s="134" t="n"/>
      <c r="D17" s="134" t="n"/>
      <c r="E17" s="134" t="n"/>
      <c r="F17" s="134" t="n"/>
      <c r="G17" s="134" t="n"/>
      <c r="H17" s="134" t="n"/>
      <c r="I17" s="150">
        <f>I14+I15+I16</f>
        <v/>
      </c>
      <c r="J17" s="87">
        <f>I17/1439887000</f>
        <v/>
      </c>
      <c r="K17" s="135" t="n"/>
    </row>
    <row r="18" ht="10" customFormat="1" customHeight="1" s="5">
      <c r="A18" s="151" t="n"/>
      <c r="B18" s="29" t="n"/>
      <c r="C18" s="133" t="n"/>
      <c r="D18" s="25" t="n"/>
      <c r="E18" s="25" t="n"/>
      <c r="I18" s="152" t="n"/>
      <c r="J18" s="25" t="n"/>
      <c r="K18" s="153" t="n"/>
    </row>
    <row r="19" ht="25" customFormat="1" customHeight="1" s="5">
      <c r="A19" s="154" t="inlineStr">
        <is>
          <t>세부산출내역</t>
        </is>
      </c>
      <c r="B19" s="155" t="n"/>
      <c r="C19" s="155" t="n"/>
      <c r="D19" s="155" t="n"/>
      <c r="E19" s="155" t="n"/>
      <c r="F19" s="155" t="n"/>
      <c r="G19" s="155" t="n"/>
      <c r="H19" s="155" t="n"/>
      <c r="I19" s="155" t="n"/>
      <c r="J19" s="155" t="n"/>
      <c r="K19" s="156" t="n"/>
    </row>
    <row r="20" ht="25" customFormat="1" customHeight="1" s="54">
      <c r="A20" s="157" t="inlineStr">
        <is>
          <t>ITEM</t>
        </is>
      </c>
      <c r="B20" s="158" t="inlineStr">
        <is>
          <t>DESCRIPTION</t>
        </is>
      </c>
      <c r="C20" s="159" t="inlineStr">
        <is>
          <t>SIZE(mm) / SPEC</t>
        </is>
      </c>
      <c r="D20" s="50" t="inlineStr">
        <is>
          <t>UNIT P.</t>
        </is>
      </c>
      <c r="E20" s="50" t="inlineStr">
        <is>
          <t>Q'ty</t>
        </is>
      </c>
      <c r="F20" s="51" t="inlineStr">
        <is>
          <t>DUR.</t>
        </is>
      </c>
      <c r="G20" s="52" t="inlineStr">
        <is>
          <t>ETC.</t>
        </is>
      </c>
      <c r="H20" s="52" t="inlineStr">
        <is>
          <t>ETC.</t>
        </is>
      </c>
      <c r="I20" s="53" t="inlineStr">
        <is>
          <t>AMOUNT</t>
        </is>
      </c>
      <c r="J20" s="89" t="inlineStr">
        <is>
          <t>REMARKS</t>
        </is>
      </c>
      <c r="K20" s="160" t="n"/>
    </row>
    <row r="21" ht="10" customFormat="1" customHeight="1" s="5">
      <c r="A21" s="151" t="n"/>
      <c r="B21" s="29" t="n"/>
      <c r="C21" s="133" t="n"/>
      <c r="D21" s="25" t="n"/>
      <c r="E21" s="25" t="n"/>
      <c r="I21" s="152" t="n"/>
      <c r="J21" s="25" t="n"/>
      <c r="K21" s="153" t="n"/>
    </row>
    <row r="22" ht="25" customHeight="1" s="127">
      <c r="A22" s="161" t="inlineStr">
        <is>
          <t>1. 유통판로 지원</t>
        </is>
      </c>
      <c r="B22" s="162" t="n"/>
      <c r="C22" s="162" t="n"/>
      <c r="D22" s="162" t="n"/>
      <c r="E22" s="162" t="n"/>
      <c r="F22" s="162" t="n"/>
      <c r="G22" s="162" t="n"/>
      <c r="H22" s="163" t="n"/>
      <c r="I22" s="163" t="n"/>
      <c r="J22" s="164" t="n"/>
      <c r="K22" s="165" t="n"/>
    </row>
    <row r="23" ht="25" customFormat="1" customHeight="1" s="125">
      <c r="A23" s="166" t="inlineStr">
        <is>
          <t>리멤버 ABM</t>
        </is>
      </c>
      <c r="B23" s="167" t="inlineStr">
        <is>
          <t>ABM 타겟 캠페인</t>
        </is>
      </c>
      <c r="C23" s="168" t="inlineStr">
        <is>
          <t>바이어 업종별 타겟팅 3회</t>
        </is>
      </c>
      <c r="D23" s="60" t="n">
        <v>8000000</v>
      </c>
      <c r="E23" s="169" t="n">
        <v>3</v>
      </c>
      <c r="F23" s="170" t="n">
        <v>1</v>
      </c>
      <c r="G23" s="171" t="n"/>
      <c r="H23" s="171" t="n"/>
      <c r="I23" s="64">
        <f>PRODUCT(D23:F23)</f>
        <v/>
      </c>
      <c r="J23" s="172" t="inlineStr">
        <is>
          <t>리드젠 서베이 포함</t>
        </is>
      </c>
      <c r="K23" s="173" t="n"/>
    </row>
    <row r="24" ht="25" customFormat="1" customHeight="1" s="125">
      <c r="A24" s="174" t="n"/>
      <c r="B24" s="175" t="inlineStr">
        <is>
          <t>리드젠 서베이</t>
        </is>
      </c>
      <c r="C24" s="168" t="inlineStr">
        <is>
          <t>서베이 설계+발송+리드 수집 2회</t>
        </is>
      </c>
      <c r="D24" s="60" t="n">
        <v>5500000</v>
      </c>
      <c r="E24" s="169" t="n">
        <v>2</v>
      </c>
      <c r="F24" s="170" t="n">
        <v>1</v>
      </c>
      <c r="G24" s="171" t="n"/>
      <c r="H24" s="171" t="n"/>
      <c r="I24" s="64">
        <f>PRODUCT(D24:F24)</f>
        <v/>
      </c>
      <c r="J24" s="172" t="n"/>
      <c r="K24" s="173" t="n"/>
    </row>
    <row r="25" ht="25" customFormat="1" customHeight="1" s="125">
      <c r="A25" s="176" t="inlineStr">
        <is>
          <t>유통입점 컨설팅</t>
        </is>
      </c>
      <c r="B25" s="175" t="inlineStr">
        <is>
          <t>입점전략 컨설팅</t>
        </is>
      </c>
      <c r="C25" s="168" t="inlineStr">
        <is>
          <t>유통전문 컨설턴트, 건당</t>
        </is>
      </c>
      <c r="D25" s="60" t="n">
        <v>4000000</v>
      </c>
      <c r="E25" s="169" t="n">
        <v>7</v>
      </c>
      <c r="F25" s="170" t="n">
        <v>1</v>
      </c>
      <c r="G25" s="171" t="n"/>
      <c r="H25" s="171" t="n"/>
      <c r="I25" s="64">
        <f>PRODUCT(D25:F25)</f>
        <v/>
      </c>
      <c r="J25" s="172" t="inlineStr">
        <is>
          <t>MD제안서·패키지 포함</t>
        </is>
      </c>
      <c r="K25" s="173" t="n"/>
    </row>
    <row r="26" ht="25" customFormat="1" customHeight="1" s="125">
      <c r="A26" s="177" t="inlineStr">
        <is>
          <t>팝업스토어</t>
        </is>
      </c>
      <c r="B26" s="167" t="inlineStr">
        <is>
          <t>입점 코디네이션</t>
        </is>
      </c>
      <c r="C26" s="168" t="inlineStr">
        <is>
          <t>MD미팅 동행·입점서류 지원</t>
        </is>
      </c>
      <c r="D26" s="60" t="n">
        <v>500000</v>
      </c>
      <c r="E26" s="169" t="n">
        <v>7</v>
      </c>
      <c r="F26" s="170" t="n">
        <v>1</v>
      </c>
      <c r="G26" s="171" t="n"/>
      <c r="H26" s="171" t="n"/>
      <c r="I26" s="64">
        <f>PRODUCT(D26:F26)</f>
        <v/>
      </c>
      <c r="J26" s="172" t="n"/>
      <c r="K26" s="173" t="n"/>
    </row>
    <row r="27" ht="25" customFormat="1" customHeight="1" s="125">
      <c r="A27" s="178" t="n"/>
      <c r="B27" s="175" t="inlineStr">
        <is>
          <t>1차 팝업 (HiKR 등)</t>
        </is>
      </c>
      <c r="C27" s="168" t="inlineStr">
        <is>
          <t>시공+운영+집기+판촉물, 임차 무료</t>
        </is>
      </c>
      <c r="D27" s="60" t="n">
        <v>16000000</v>
      </c>
      <c r="E27" s="169" t="n">
        <v>1</v>
      </c>
      <c r="F27" s="170" t="n">
        <v>1</v>
      </c>
      <c r="G27" s="171" t="n"/>
      <c r="H27" s="171" t="n"/>
      <c r="I27" s="64">
        <f>PRODUCT(D27:F27)</f>
        <v/>
      </c>
      <c r="J27" s="172" t="inlineStr">
        <is>
          <t>공간 임차 무료</t>
        </is>
      </c>
      <c r="K27" s="173" t="n"/>
    </row>
    <row r="28" ht="25" customFormat="1" customHeight="1" s="125">
      <c r="A28" s="179" t="n"/>
      <c r="B28" s="175" t="inlineStr">
        <is>
          <t>2차 팝업</t>
        </is>
      </c>
      <c r="C28" s="168" t="inlineStr">
        <is>
          <t>시공+운영+집기+판촉물, 임차 무료</t>
        </is>
      </c>
      <c r="D28" s="60" t="n">
        <v>16000000</v>
      </c>
      <c r="E28" s="169" t="n">
        <v>1</v>
      </c>
      <c r="F28" s="170" t="n">
        <v>1</v>
      </c>
      <c r="G28" s="171" t="n"/>
      <c r="H28" s="171" t="n"/>
      <c r="I28" s="64">
        <f>PRODUCT(D28:F28)</f>
        <v/>
      </c>
      <c r="J28" s="172" t="n"/>
      <c r="K28" s="173" t="n"/>
    </row>
    <row r="29" ht="25" customFormat="1" customHeight="1" s="125">
      <c r="A29" s="180" t="inlineStr">
        <is>
          <t>해외전시</t>
        </is>
      </c>
      <c r="B29" s="167" t="inlineStr">
        <is>
          <t>M&amp;O Paris 참가</t>
        </is>
      </c>
      <c r="C29" s="168" t="inlineStr">
        <is>
          <t>부스비</t>
        </is>
      </c>
      <c r="D29" s="60" t="n">
        <v>25000000</v>
      </c>
      <c r="E29" s="169" t="n">
        <v>1</v>
      </c>
      <c r="F29" s="170" t="n">
        <v>1</v>
      </c>
      <c r="G29" s="171" t="n"/>
      <c r="H29" s="171" t="n"/>
      <c r="I29" s="64">
        <f>PRODUCT(D29:F29)</f>
        <v/>
      </c>
      <c r="J29" s="172" t="inlineStr">
        <is>
          <t>9월 개최</t>
        </is>
      </c>
      <c r="K29" s="173" t="n"/>
    </row>
    <row r="30" ht="25" customFormat="1" customHeight="1" s="125">
      <c r="A30" s="178" t="n"/>
      <c r="B30" s="167" t="inlineStr">
        <is>
          <t>운송비</t>
        </is>
      </c>
      <c r="C30" s="168" t="inlineStr">
        <is>
          <t>제품 운송·통관</t>
        </is>
      </c>
      <c r="D30" s="60" t="n">
        <v>10000000</v>
      </c>
      <c r="E30" s="169" t="n">
        <v>1</v>
      </c>
      <c r="F30" s="170" t="n">
        <v>1</v>
      </c>
      <c r="G30" s="171" t="n"/>
      <c r="H30" s="171" t="n"/>
      <c r="I30" s="64">
        <f>PRODUCT(D30:F30)</f>
        <v/>
      </c>
      <c r="J30" s="172" t="n"/>
      <c r="K30" s="173" t="n"/>
    </row>
    <row r="31" ht="25" customFormat="1" customHeight="1" s="125">
      <c r="A31" s="178" t="n"/>
      <c r="B31" s="167" t="inlineStr">
        <is>
          <t>출장비 (3인×7일)</t>
        </is>
      </c>
      <c r="C31" s="168" t="inlineStr">
        <is>
          <t>항공+숙박+일비</t>
        </is>
      </c>
      <c r="D31" s="60" t="n">
        <v>8000000</v>
      </c>
      <c r="E31" s="169" t="n">
        <v>1</v>
      </c>
      <c r="F31" s="170" t="n">
        <v>1</v>
      </c>
      <c r="G31" s="171" t="n"/>
      <c r="H31" s="171" t="n"/>
      <c r="I31" s="64">
        <f>PRODUCT(D31:F31)</f>
        <v/>
      </c>
      <c r="J31" s="172" t="n"/>
      <c r="K31" s="173" t="n"/>
    </row>
    <row r="32" ht="25" customFormat="1" customHeight="1" s="125">
      <c r="A32" s="174" t="n"/>
      <c r="B32" s="167" t="inlineStr">
        <is>
          <t>통역·현지 코디</t>
        </is>
      </c>
      <c r="C32" s="168" t="inlineStr">
        <is>
          <t>전시기간 통역 지원</t>
        </is>
      </c>
      <c r="D32" s="60" t="n">
        <v>2000000</v>
      </c>
      <c r="E32" s="169" t="n">
        <v>1</v>
      </c>
      <c r="F32" s="170" t="n">
        <v>1</v>
      </c>
      <c r="G32" s="171" t="n"/>
      <c r="H32" s="171" t="n"/>
      <c r="I32" s="64">
        <f>PRODUCT(D32:F32)</f>
        <v/>
      </c>
      <c r="J32" s="172" t="n"/>
      <c r="K32" s="173" t="n"/>
    </row>
    <row r="33" ht="25" customFormat="1" customHeight="1" s="125">
      <c r="A33" s="79" t="inlineStr">
        <is>
          <t>해외 로드쇼</t>
        </is>
      </c>
      <c r="B33" s="175" t="inlineStr">
        <is>
          <t>항공</t>
        </is>
      </c>
      <c r="C33" s="168" t="inlineStr">
        <is>
          <t>2인 × 3개국</t>
        </is>
      </c>
      <c r="D33" s="60" t="n">
        <v>1500000</v>
      </c>
      <c r="E33" s="169" t="n">
        <v>2</v>
      </c>
      <c r="F33" s="170" t="n">
        <v>3</v>
      </c>
      <c r="G33" s="171" t="n"/>
      <c r="H33" s="171" t="n"/>
      <c r="I33" s="64">
        <f>PRODUCT(D33:F33)</f>
        <v/>
      </c>
      <c r="J33" s="172" t="n"/>
      <c r="K33" s="173" t="n"/>
    </row>
    <row r="34" ht="25" customFormat="1" customHeight="1" s="125">
      <c r="A34" s="178" t="n"/>
      <c r="B34" s="175" t="inlineStr">
        <is>
          <t>숙박</t>
        </is>
      </c>
      <c r="C34" s="168" t="inlineStr">
        <is>
          <t>4박 × 2인 × 3개국</t>
        </is>
      </c>
      <c r="D34" s="60" t="n">
        <v>200000</v>
      </c>
      <c r="E34" s="169" t="n">
        <v>4</v>
      </c>
      <c r="F34" s="170" t="n">
        <v>6</v>
      </c>
      <c r="G34" s="171" t="n"/>
      <c r="H34" s="171" t="n"/>
      <c r="I34" s="64">
        <f>PRODUCT(D34:F34)</f>
        <v/>
      </c>
      <c r="J34" s="172" t="inlineStr">
        <is>
          <t>2인×3국</t>
        </is>
      </c>
      <c r="K34" s="173" t="n"/>
    </row>
    <row r="35" ht="25" customFormat="1" customHeight="1" s="125">
      <c r="A35" s="178" t="n"/>
      <c r="B35" s="167" t="inlineStr">
        <is>
          <t>일비·식비</t>
        </is>
      </c>
      <c r="C35" s="168" t="inlineStr">
        <is>
          <t>5일 × 2인 × 3개국</t>
        </is>
      </c>
      <c r="D35" s="60" t="n">
        <v>80000</v>
      </c>
      <c r="E35" s="169" t="n">
        <v>5</v>
      </c>
      <c r="F35" s="170" t="n">
        <v>6</v>
      </c>
      <c r="G35" s="171" t="n"/>
      <c r="H35" s="171" t="n"/>
      <c r="I35" s="64">
        <f>PRODUCT(D35:F35)</f>
        <v/>
      </c>
      <c r="J35" s="172" t="n"/>
      <c r="K35" s="173" t="n"/>
    </row>
    <row r="36" ht="25" customFormat="1" customHeight="1" s="125">
      <c r="A36" s="178" t="n"/>
      <c r="B36" s="175" t="inlineStr">
        <is>
          <t>현지 미팅·행사비</t>
        </is>
      </c>
      <c r="C36" s="168" t="inlineStr">
        <is>
          <t>바이어 미팅+샘플 전시</t>
        </is>
      </c>
      <c r="D36" s="60" t="n">
        <v>3000000</v>
      </c>
      <c r="E36" s="169" t="n">
        <v>3</v>
      </c>
      <c r="F36" s="170" t="n">
        <v>1</v>
      </c>
      <c r="G36" s="171" t="n"/>
      <c r="H36" s="171" t="n"/>
      <c r="I36" s="64">
        <f>PRODUCT(D36:F36)</f>
        <v/>
      </c>
      <c r="J36" s="172" t="n"/>
      <c r="K36" s="173" t="n"/>
    </row>
    <row r="37" ht="25" customFormat="1" customHeight="1" s="125">
      <c r="A37" s="178" t="n"/>
      <c r="B37" s="175" t="inlineStr">
        <is>
          <t>샘플 운송</t>
        </is>
      </c>
      <c r="C37" s="168" t="inlineStr">
        <is>
          <t>제품 운송·통관 3개국</t>
        </is>
      </c>
      <c r="D37" s="60" t="n">
        <v>2000000</v>
      </c>
      <c r="E37" s="169" t="n">
        <v>3</v>
      </c>
      <c r="F37" s="170" t="n">
        <v>1</v>
      </c>
      <c r="G37" s="171" t="n"/>
      <c r="H37" s="171" t="n"/>
      <c r="I37" s="64">
        <f>PRODUCT(D37:F37)</f>
        <v/>
      </c>
      <c r="J37" s="172" t="n"/>
      <c r="K37" s="173" t="n"/>
    </row>
    <row r="38" ht="25" customFormat="1" customHeight="1" s="125">
      <c r="A38" s="179" t="n"/>
      <c r="B38" s="167" t="inlineStr">
        <is>
          <t>통역·현지 코디</t>
        </is>
      </c>
      <c r="C38" s="168" t="inlineStr">
        <is>
          <t>3개국</t>
        </is>
      </c>
      <c r="D38" s="60" t="n">
        <v>1600000</v>
      </c>
      <c r="E38" s="169" t="n">
        <v>3</v>
      </c>
      <c r="F38" s="170" t="n">
        <v>1</v>
      </c>
      <c r="G38" s="171" t="n"/>
      <c r="H38" s="171" t="n"/>
      <c r="I38" s="64">
        <f>PRODUCT(D38:F38)</f>
        <v/>
      </c>
      <c r="J38" s="172" t="n"/>
      <c r="K38" s="173" t="n"/>
    </row>
    <row r="39" ht="25" customFormat="1" customHeight="1" s="125">
      <c r="A39" s="181" t="inlineStr">
        <is>
          <t>소계</t>
        </is>
      </c>
      <c r="B39" s="182" t="n"/>
      <c r="C39" s="182" t="n"/>
      <c r="D39" s="182" t="n"/>
      <c r="E39" s="182" t="n"/>
      <c r="F39" s="182" t="n"/>
      <c r="G39" s="182" t="n"/>
      <c r="H39" s="183" t="n"/>
      <c r="I39" s="72">
        <f>SUM(I23:I38)</f>
        <v/>
      </c>
      <c r="J39" s="80" t="n"/>
      <c r="K39" s="184" t="n"/>
    </row>
    <row r="40" ht="10" customFormat="1" customHeight="1" s="125">
      <c r="A40" s="185" t="n"/>
      <c r="B40" s="186" t="n"/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7" t="n"/>
    </row>
    <row r="41" ht="25" customFormat="1" customHeight="1" s="125">
      <c r="A41" s="161" t="inlineStr">
        <is>
          <t>2. 박람회 운영 (DDP 아트홀, 11.20~22, 3일간)</t>
        </is>
      </c>
      <c r="B41" s="162" t="n"/>
      <c r="C41" s="162" t="n"/>
      <c r="D41" s="188" t="n"/>
      <c r="E41" s="162" t="n"/>
      <c r="F41" s="162" t="n"/>
      <c r="G41" s="162" t="n"/>
      <c r="H41" s="163" t="n"/>
      <c r="I41" s="163" t="n"/>
      <c r="J41" s="189" t="n"/>
      <c r="K41" s="190" t="n"/>
    </row>
    <row r="42" ht="25" customFormat="1" customHeight="1" s="125">
      <c r="A42" s="191" t="inlineStr">
        <is>
          <t>[행사장 조성]</t>
        </is>
      </c>
      <c r="B42" s="192" t="n"/>
      <c r="C42" s="193" t="n"/>
      <c r="D42" s="112" t="n"/>
      <c r="E42" s="194" t="n"/>
      <c r="F42" s="194" t="n"/>
      <c r="G42" s="195" t="n"/>
      <c r="H42" s="195" t="n"/>
      <c r="I42" s="115" t="n"/>
      <c r="J42" s="196" t="n"/>
      <c r="K42" s="197" t="n"/>
    </row>
    <row r="43" ht="25" customFormat="1" customHeight="1" s="125">
      <c r="A43" s="198" t="inlineStr">
        <is>
          <t>부스 장치비</t>
        </is>
      </c>
      <c r="B43" s="167" t="inlineStr">
        <is>
          <t>부스 설치·시공·철거</t>
        </is>
      </c>
      <c r="C43" s="168" t="inlineStr">
        <is>
          <t>4,500sqm 전시면적, 부스당 100만원 선</t>
        </is>
      </c>
      <c r="D43" s="60" t="n">
        <v>1000000</v>
      </c>
      <c r="E43" s="199" t="n">
        <v>150</v>
      </c>
      <c r="F43" s="170" t="n">
        <v>1</v>
      </c>
      <c r="G43" s="171" t="n"/>
      <c r="H43" s="171" t="n"/>
      <c r="I43" s="64" t="n">
        <v>150000000</v>
      </c>
      <c r="J43" s="189" t="inlineStr">
        <is>
          <t>무대·통로 포함</t>
        </is>
      </c>
      <c r="K43" s="190" t="n"/>
    </row>
    <row r="44" ht="25" customFormat="1" customHeight="1" s="125">
      <c r="A44" s="198" t="inlineStr">
        <is>
          <t>무대설치</t>
        </is>
      </c>
      <c r="B44" s="167" t="inlineStr">
        <is>
          <t>음향/조명/영상 일체</t>
        </is>
      </c>
      <c r="C44" s="168" t="inlineStr">
        <is>
          <t>메인무대+장비+오퍼레이터</t>
        </is>
      </c>
      <c r="D44" s="60" t="n">
        <v>38000000</v>
      </c>
      <c r="E44" s="199" t="n">
        <v>1</v>
      </c>
      <c r="F44" s="170" t="n">
        <v>1</v>
      </c>
      <c r="G44" s="171" t="n"/>
      <c r="H44" s="171" t="n"/>
      <c r="I44" s="64" t="n">
        <v>38000000</v>
      </c>
      <c r="J44" s="189" t="n"/>
      <c r="K44" s="190" t="n"/>
    </row>
    <row r="45" ht="25" customFormat="1" customHeight="1" s="125">
      <c r="A45" s="198" t="inlineStr">
        <is>
          <t>전시존</t>
        </is>
      </c>
      <c r="B45" s="167" t="inlineStr">
        <is>
          <t>수상작·지역·해외</t>
        </is>
      </c>
      <c r="C45" s="168" t="inlineStr">
        <is>
          <t>특별전시 조성</t>
        </is>
      </c>
      <c r="D45" s="60" t="n">
        <v>6000000</v>
      </c>
      <c r="E45" s="199" t="n">
        <v>3</v>
      </c>
      <c r="F45" s="170" t="n">
        <v>1</v>
      </c>
      <c r="G45" s="171" t="n"/>
      <c r="H45" s="171" t="n"/>
      <c r="I45" s="64" t="n">
        <v>18000000</v>
      </c>
      <c r="J45" s="189" t="n"/>
      <c r="K45" s="190" t="n"/>
    </row>
    <row r="46" ht="25" customFormat="1" customHeight="1" s="125">
      <c r="A46" s="198" t="inlineStr">
        <is>
          <t>체험존</t>
        </is>
      </c>
      <c r="B46" s="167" t="inlineStr">
        <is>
          <t>이벤트·체험존·포토존</t>
        </is>
      </c>
      <c r="C46" s="168" t="inlineStr">
        <is>
          <t>체험부스+포토월+설치철거</t>
        </is>
      </c>
      <c r="D46" s="60" t="n">
        <v>10000000</v>
      </c>
      <c r="E46" s="199" t="n">
        <v>1</v>
      </c>
      <c r="F46" s="170" t="n">
        <v>1</v>
      </c>
      <c r="G46" s="171" t="n"/>
      <c r="H46" s="171" t="n"/>
      <c r="I46" s="64" t="n">
        <v>10000000</v>
      </c>
      <c r="J46" s="189" t="n"/>
      <c r="K46" s="190" t="n"/>
    </row>
    <row r="47" ht="25" customFormat="1" customHeight="1" s="125">
      <c r="A47" s="198" t="inlineStr">
        <is>
          <t>상담존</t>
        </is>
      </c>
      <c r="B47" s="167" t="inlineStr">
        <is>
          <t>B2B 상담존·VIP룸</t>
        </is>
      </c>
      <c r="C47" s="168" t="inlineStr">
        <is>
          <t>파티션+가구+비품</t>
        </is>
      </c>
      <c r="D47" s="60" t="n">
        <v>10000000</v>
      </c>
      <c r="E47" s="199" t="n">
        <v>1</v>
      </c>
      <c r="F47" s="170" t="n">
        <v>1</v>
      </c>
      <c r="G47" s="171" t="n"/>
      <c r="H47" s="171" t="n"/>
      <c r="I47" s="64" t="n">
        <v>10000000</v>
      </c>
      <c r="J47" s="189" t="n"/>
      <c r="K47" s="190" t="n"/>
    </row>
    <row r="48" ht="25" customFormat="1" customHeight="1" s="125">
      <c r="A48" s="198" t="inlineStr">
        <is>
          <t>등록</t>
        </is>
      </c>
      <c r="B48" s="167" t="inlineStr">
        <is>
          <t>등록데스크·인포·휴게</t>
        </is>
      </c>
      <c r="C48" s="168" t="inlineStr">
        <is>
          <t>물품보관·스태프 대기 포함</t>
        </is>
      </c>
      <c r="D48" s="60" t="n">
        <v>8000000</v>
      </c>
      <c r="E48" s="199" t="n">
        <v>1</v>
      </c>
      <c r="F48" s="170" t="n">
        <v>1</v>
      </c>
      <c r="G48" s="171" t="n"/>
      <c r="H48" s="171" t="n"/>
      <c r="I48" s="64" t="n">
        <v>8000000</v>
      </c>
      <c r="J48" s="189" t="n"/>
      <c r="K48" s="190" t="n"/>
    </row>
    <row r="49" ht="25" customFormat="1" customHeight="1" s="125">
      <c r="A49" s="198" t="inlineStr">
        <is>
          <t>조명</t>
        </is>
      </c>
      <c r="B49" s="167" t="inlineStr">
        <is>
          <t>개별 조명 설치</t>
        </is>
      </c>
      <c r="C49" s="168" t="inlineStr">
        <is>
          <t>참가업체별 조도 개선</t>
        </is>
      </c>
      <c r="D49" s="60" t="n">
        <v>10000000</v>
      </c>
      <c r="E49" s="199" t="n">
        <v>1</v>
      </c>
      <c r="F49" s="170" t="n">
        <v>1</v>
      </c>
      <c r="G49" s="171" t="n"/>
      <c r="H49" s="171" t="n"/>
      <c r="I49" s="64" t="n">
        <v>10000000</v>
      </c>
      <c r="J49" s="189" t="inlineStr">
        <is>
          <t>RFP 신규</t>
        </is>
      </c>
      <c r="K49" s="190" t="n"/>
    </row>
    <row r="50" ht="25" customFormat="1" customHeight="1" s="125">
      <c r="A50" s="198" t="inlineStr">
        <is>
          <t>전기·통신</t>
        </is>
      </c>
      <c r="B50" s="167" t="inlineStr">
        <is>
          <t>전기·인터넷·배수</t>
        </is>
      </c>
      <c r="C50" s="168" t="n"/>
      <c r="D50" s="60" t="n">
        <v>10000000</v>
      </c>
      <c r="E50" s="199" t="n">
        <v>1</v>
      </c>
      <c r="F50" s="170" t="n">
        <v>1</v>
      </c>
      <c r="G50" s="171" t="n"/>
      <c r="H50" s="171" t="n"/>
      <c r="I50" s="64" t="n">
        <v>10000000</v>
      </c>
      <c r="J50" s="189" t="n"/>
      <c r="K50" s="190" t="n"/>
    </row>
    <row r="51" ht="25" customFormat="1" customHeight="1" s="125">
      <c r="A51" s="198" t="inlineStr">
        <is>
          <t>제작물</t>
        </is>
      </c>
      <c r="B51" s="167" t="inlineStr">
        <is>
          <t>안내물·홍보물</t>
        </is>
      </c>
      <c r="C51" s="168" t="inlineStr">
        <is>
          <t>디자인·인쇄·설치 일체</t>
        </is>
      </c>
      <c r="D51" s="60" t="n">
        <v>10000000</v>
      </c>
      <c r="E51" s="199" t="n">
        <v>1</v>
      </c>
      <c r="F51" s="170" t="n">
        <v>1</v>
      </c>
      <c r="G51" s="171" t="n"/>
      <c r="H51" s="171" t="n"/>
      <c r="I51" s="64" t="n">
        <v>10000000</v>
      </c>
      <c r="J51" s="189" t="n"/>
      <c r="K51" s="190" t="n"/>
    </row>
    <row r="52" ht="25" customFormat="1" customHeight="1" s="125">
      <c r="A52" s="198" t="inlineStr">
        <is>
          <t>번역</t>
        </is>
      </c>
      <c r="B52" s="167" t="inlineStr">
        <is>
          <t>외국인용 번역·감수</t>
        </is>
      </c>
      <c r="C52" s="168" t="n"/>
      <c r="D52" s="60" t="n">
        <v>3000000</v>
      </c>
      <c r="E52" s="199" t="n">
        <v>1</v>
      </c>
      <c r="F52" s="170" t="n">
        <v>1</v>
      </c>
      <c r="G52" s="171" t="n"/>
      <c r="H52" s="171" t="n"/>
      <c r="I52" s="64" t="n">
        <v>3000000</v>
      </c>
      <c r="J52" s="189" t="n"/>
      <c r="K52" s="190" t="n"/>
    </row>
    <row r="53" ht="25" customFormat="1" customHeight="1" s="125">
      <c r="A53" s="200" t="inlineStr">
        <is>
          <t>[프로그램 운영]</t>
        </is>
      </c>
      <c r="B53" s="192" t="n"/>
      <c r="C53" s="193" t="n"/>
      <c r="D53" s="112" t="n"/>
      <c r="E53" s="194" t="n"/>
      <c r="F53" s="201" t="n"/>
      <c r="G53" s="195" t="n"/>
      <c r="H53" s="195" t="n"/>
      <c r="I53" s="115" t="n"/>
      <c r="J53" s="189" t="n"/>
      <c r="K53" s="190" t="n"/>
    </row>
    <row r="54" ht="25" customFormat="1" customHeight="1" s="125">
      <c r="A54" s="198" t="inlineStr">
        <is>
          <t>개막식</t>
        </is>
      </c>
      <c r="B54" s="167" t="inlineStr">
        <is>
          <t>시상식 연계 개막행사</t>
        </is>
      </c>
      <c r="C54" s="168" t="inlineStr">
        <is>
          <t>의전·꽃다발·세레머니·무대장식</t>
        </is>
      </c>
      <c r="D54" s="60" t="n">
        <v>15000000</v>
      </c>
      <c r="E54" s="199" t="n">
        <v>1</v>
      </c>
      <c r="F54" s="170" t="n">
        <v>1</v>
      </c>
      <c r="G54" s="171" t="n"/>
      <c r="H54" s="171" t="n"/>
      <c r="I54" s="64" t="n">
        <v>15000000</v>
      </c>
      <c r="J54" s="189" t="n"/>
      <c r="K54" s="190" t="n"/>
    </row>
    <row r="55" ht="25" customFormat="1" customHeight="1" s="125">
      <c r="A55" s="198" t="inlineStr">
        <is>
          <t>무대프로그램</t>
        </is>
      </c>
      <c r="B55" s="167" t="inlineStr">
        <is>
          <t>연사·MC</t>
        </is>
      </c>
      <c r="C55" s="168" t="inlineStr">
        <is>
          <t>MC 1인 + 연사 2~3인 출연료</t>
        </is>
      </c>
      <c r="D55" s="60" t="n">
        <v>18000000</v>
      </c>
      <c r="E55" s="199" t="n">
        <v>1</v>
      </c>
      <c r="F55" s="170" t="n">
        <v>1</v>
      </c>
      <c r="G55" s="171" t="n"/>
      <c r="H55" s="171" t="n"/>
      <c r="I55" s="64" t="n">
        <v>18000000</v>
      </c>
      <c r="J55" s="189" t="n"/>
      <c r="K55" s="190" t="n"/>
    </row>
    <row r="56" ht="25" customFormat="1" customHeight="1" s="125">
      <c r="A56" s="198" t="inlineStr">
        <is>
          <t>컨설팅</t>
        </is>
      </c>
      <c r="B56" s="167" t="inlineStr">
        <is>
          <t>참가업체 현장 컨설팅</t>
        </is>
      </c>
      <c r="C56" s="168" t="inlineStr">
        <is>
          <t>전문가 상담</t>
        </is>
      </c>
      <c r="D56" s="60" t="n">
        <v>5000000</v>
      </c>
      <c r="E56" s="199" t="n">
        <v>1</v>
      </c>
      <c r="F56" s="170" t="n">
        <v>1</v>
      </c>
      <c r="G56" s="171" t="n"/>
      <c r="H56" s="171" t="n"/>
      <c r="I56" s="64" t="n">
        <v>5000000</v>
      </c>
      <c r="J56" s="189" t="n"/>
      <c r="K56" s="190" t="n"/>
    </row>
    <row r="57" ht="25" customFormat="1" customHeight="1" s="125">
      <c r="A57" s="198" t="inlineStr">
        <is>
          <t>프로모션</t>
        </is>
      </c>
      <c r="B57" s="167" t="inlineStr">
        <is>
          <t>판매 프로모션·라이브커머스</t>
        </is>
      </c>
      <c r="C57" s="168" t="inlineStr">
        <is>
          <t>POS·결제기기 포함</t>
        </is>
      </c>
      <c r="D57" s="60" t="n">
        <v>8000000</v>
      </c>
      <c r="E57" s="199" t="n">
        <v>1</v>
      </c>
      <c r="F57" s="170" t="n">
        <v>1</v>
      </c>
      <c r="G57" s="171" t="n"/>
      <c r="H57" s="171" t="n"/>
      <c r="I57" s="64" t="n">
        <v>8000000</v>
      </c>
      <c r="J57" s="189" t="n"/>
      <c r="K57" s="190" t="n"/>
    </row>
    <row r="58" ht="25" customFormat="1" customHeight="1" s="125">
      <c r="A58" s="198" t="inlineStr">
        <is>
          <t>모객</t>
        </is>
      </c>
      <c r="B58" s="167" t="inlineStr">
        <is>
          <t>이벤트·경품·체험</t>
        </is>
      </c>
      <c r="C58" s="168" t="n"/>
      <c r="D58" s="60" t="n">
        <v>8000000</v>
      </c>
      <c r="E58" s="199" t="n">
        <v>1</v>
      </c>
      <c r="F58" s="170" t="n">
        <v>1</v>
      </c>
      <c r="G58" s="171" t="n"/>
      <c r="H58" s="171" t="n"/>
      <c r="I58" s="64" t="n">
        <v>8000000</v>
      </c>
      <c r="J58" s="189" t="n"/>
      <c r="K58" s="190" t="n"/>
    </row>
    <row r="59" ht="25" customFormat="1" customHeight="1" s="125">
      <c r="A59" s="198" t="inlineStr">
        <is>
          <t>B2B 상담</t>
        </is>
      </c>
      <c r="B59" s="167" t="inlineStr">
        <is>
          <t>상담회 운영</t>
        </is>
      </c>
      <c r="C59" s="168" t="inlineStr">
        <is>
          <t>매칭·사후 성과추적</t>
        </is>
      </c>
      <c r="D59" s="60" t="n">
        <v>8000000</v>
      </c>
      <c r="E59" s="199" t="n">
        <v>1</v>
      </c>
      <c r="F59" s="170" t="n">
        <v>1</v>
      </c>
      <c r="G59" s="171" t="n"/>
      <c r="H59" s="171" t="n"/>
      <c r="I59" s="64" t="n">
        <v>8000000</v>
      </c>
      <c r="J59" s="189" t="n"/>
      <c r="K59" s="190" t="n"/>
    </row>
    <row r="60" ht="25" customFormat="1" customHeight="1" s="125">
      <c r="A60" s="198" t="inlineStr">
        <is>
          <t>바이어 거마비</t>
        </is>
      </c>
      <c r="B60" s="167" t="inlineStr">
        <is>
          <t>교통비 지원</t>
        </is>
      </c>
      <c r="C60" s="168" t="inlineStr">
        <is>
          <t>바이어 1인 15만원</t>
        </is>
      </c>
      <c r="D60" s="60" t="n">
        <v>150000</v>
      </c>
      <c r="E60" s="199" t="n">
        <v>60</v>
      </c>
      <c r="F60" s="170" t="n">
        <v>1</v>
      </c>
      <c r="G60" s="171" t="n"/>
      <c r="H60" s="171" t="n"/>
      <c r="I60" s="64" t="n">
        <v>9000000</v>
      </c>
      <c r="J60" s="189" t="inlineStr">
        <is>
          <t>60개사</t>
        </is>
      </c>
      <c r="K60" s="190" t="n"/>
    </row>
    <row r="61" ht="25" customFormat="1" customHeight="1" s="125">
      <c r="A61" s="200" t="inlineStr">
        <is>
          <t>[현장 운영]</t>
        </is>
      </c>
      <c r="B61" s="192" t="n"/>
      <c r="C61" s="193" t="n"/>
      <c r="D61" s="112" t="n"/>
      <c r="E61" s="194" t="n"/>
      <c r="F61" s="201" t="n"/>
      <c r="G61" s="195" t="n"/>
      <c r="H61" s="195" t="n"/>
      <c r="I61" s="115" t="n"/>
      <c r="J61" s="189" t="n"/>
      <c r="K61" s="190" t="n"/>
    </row>
    <row r="62" ht="25" customFormat="1" customHeight="1" s="125">
      <c r="A62" s="198" t="inlineStr">
        <is>
          <t>스태프</t>
        </is>
      </c>
      <c r="B62" s="167" t="inlineStr">
        <is>
          <t>운영 지원인력</t>
        </is>
      </c>
      <c r="C62" s="168" t="inlineStr">
        <is>
          <t>등록·안내·동선 관리</t>
        </is>
      </c>
      <c r="D62" s="60" t="n">
        <v>150000</v>
      </c>
      <c r="E62" s="199" t="n">
        <v>20</v>
      </c>
      <c r="F62" s="170" t="n">
        <v>3</v>
      </c>
      <c r="G62" s="171" t="n"/>
      <c r="H62" s="171" t="n"/>
      <c r="I62" s="64" t="n">
        <v>9000000</v>
      </c>
      <c r="J62" s="189" t="inlineStr">
        <is>
          <t>20명×3일</t>
        </is>
      </c>
      <c r="K62" s="190" t="n"/>
    </row>
    <row r="63" ht="25" customFormat="1" customHeight="1" s="125">
      <c r="A63" s="198" t="inlineStr">
        <is>
          <t>안전</t>
        </is>
      </c>
      <c r="B63" s="167" t="inlineStr">
        <is>
          <t>안전·보험·방역</t>
        </is>
      </c>
      <c r="C63" s="168" t="inlineStr">
        <is>
          <t>배상책임+상해</t>
        </is>
      </c>
      <c r="D63" s="60" t="n">
        <v>5000000</v>
      </c>
      <c r="E63" s="199" t="n">
        <v>1</v>
      </c>
      <c r="F63" s="170" t="n">
        <v>1</v>
      </c>
      <c r="G63" s="171" t="n"/>
      <c r="H63" s="171" t="n"/>
      <c r="I63" s="64" t="n">
        <v>5000000</v>
      </c>
      <c r="J63" s="189" t="n"/>
      <c r="K63" s="190" t="n"/>
    </row>
    <row r="64" ht="25" customFormat="1" customHeight="1" s="125">
      <c r="A64" s="198" t="inlineStr">
        <is>
          <t>설명회</t>
        </is>
      </c>
      <c r="B64" s="167" t="inlineStr">
        <is>
          <t>사전설명회</t>
        </is>
      </c>
      <c r="C64" s="168" t="inlineStr">
        <is>
          <t>참가업체 대상</t>
        </is>
      </c>
      <c r="D64" s="60" t="n">
        <v>3000000</v>
      </c>
      <c r="E64" s="199" t="n">
        <v>1</v>
      </c>
      <c r="F64" s="170" t="n">
        <v>1</v>
      </c>
      <c r="G64" s="171" t="n"/>
      <c r="H64" s="171" t="n"/>
      <c r="I64" s="64" t="n">
        <v>3000000</v>
      </c>
      <c r="J64" s="189" t="n"/>
      <c r="K64" s="190" t="n"/>
    </row>
    <row r="65" ht="25" customFormat="1" customHeight="1" s="125">
      <c r="A65" s="198" t="inlineStr">
        <is>
          <t>매뉴얼</t>
        </is>
      </c>
      <c r="B65" s="167" t="inlineStr">
        <is>
          <t>참가매뉴얼</t>
        </is>
      </c>
      <c r="C65" s="168" t="inlineStr">
        <is>
          <t>제작·배포</t>
        </is>
      </c>
      <c r="D65" s="60" t="n">
        <v>2000000</v>
      </c>
      <c r="E65" s="199" t="n">
        <v>1</v>
      </c>
      <c r="F65" s="170" t="n">
        <v>1</v>
      </c>
      <c r="G65" s="171" t="n"/>
      <c r="H65" s="171" t="n"/>
      <c r="I65" s="64" t="n">
        <v>2000000</v>
      </c>
      <c r="J65" s="189" t="n"/>
      <c r="K65" s="190" t="n"/>
    </row>
    <row r="66" ht="25" customFormat="1" customHeight="1" s="125">
      <c r="A66" s="198" t="inlineStr">
        <is>
          <t>행정</t>
        </is>
      </c>
      <c r="B66" s="167" t="inlineStr">
        <is>
          <t>신고·허가·폐기물</t>
        </is>
      </c>
      <c r="C66" s="168" t="n"/>
      <c r="D66" s="60" t="n">
        <v>3000000</v>
      </c>
      <c r="E66" s="199" t="n">
        <v>1</v>
      </c>
      <c r="F66" s="170" t="n">
        <v>1</v>
      </c>
      <c r="G66" s="171" t="n"/>
      <c r="H66" s="171" t="n"/>
      <c r="I66" s="64" t="n">
        <v>3000000</v>
      </c>
      <c r="J66" s="189" t="n"/>
      <c r="K66" s="190" t="n"/>
    </row>
    <row r="67" ht="25" customFormat="1" customHeight="1" s="125">
      <c r="A67" s="198" t="inlineStr">
        <is>
          <t>등록시스템</t>
        </is>
      </c>
      <c r="B67" s="167" t="inlineStr">
        <is>
          <t>외부 등록시스템 사용료</t>
        </is>
      </c>
      <c r="C67" s="168" t="inlineStr">
        <is>
          <t>사전등록+현장체크인</t>
        </is>
      </c>
      <c r="D67" s="60" t="n">
        <v>15000000</v>
      </c>
      <c r="E67" s="199" t="n">
        <v>1</v>
      </c>
      <c r="F67" s="170" t="n">
        <v>1</v>
      </c>
      <c r="G67" s="171" t="n"/>
      <c r="H67" s="171" t="n"/>
      <c r="I67" s="64" t="n">
        <v>15000000</v>
      </c>
      <c r="J67" s="189" t="n"/>
      <c r="K67" s="190" t="n"/>
    </row>
    <row r="68" ht="25" customFormat="1" customHeight="1" s="125">
      <c r="A68" s="198" t="inlineStr">
        <is>
          <t>성과관리</t>
        </is>
      </c>
      <c r="B68" s="167" t="inlineStr">
        <is>
          <t>만족도조사·성과관리</t>
        </is>
      </c>
      <c r="C68" s="168" t="n"/>
      <c r="D68" s="60" t="n">
        <v>3000000</v>
      </c>
      <c r="E68" s="199" t="n">
        <v>1</v>
      </c>
      <c r="F68" s="170" t="n">
        <v>1</v>
      </c>
      <c r="G68" s="171" t="n"/>
      <c r="H68" s="171" t="n"/>
      <c r="I68" s="64" t="n">
        <v>3000000</v>
      </c>
      <c r="J68" s="189" t="n"/>
      <c r="K68" s="190" t="n"/>
    </row>
    <row r="69" ht="25" customFormat="1" customHeight="1" s="125">
      <c r="A69" s="181" t="inlineStr">
        <is>
          <t>소계</t>
        </is>
      </c>
      <c r="B69" s="182" t="n"/>
      <c r="C69" s="182" t="n"/>
      <c r="D69" s="182" t="n"/>
      <c r="E69" s="182" t="n"/>
      <c r="F69" s="182" t="n"/>
      <c r="G69" s="182" t="n"/>
      <c r="H69" s="183" t="n"/>
      <c r="I69" s="73">
        <f>SUM(I42:I68)</f>
        <v/>
      </c>
      <c r="J69" s="202" t="n"/>
      <c r="K69" s="203" t="n"/>
    </row>
    <row r="70" ht="10" customFormat="1" customHeight="1" s="125">
      <c r="A70" s="101" t="n"/>
      <c r="B70" s="102" t="n"/>
      <c r="C70" s="102" t="n"/>
      <c r="D70" s="102" t="n"/>
      <c r="E70" s="102" t="n"/>
      <c r="F70" s="102" t="n"/>
      <c r="G70" s="102" t="n"/>
      <c r="H70" s="102" t="n"/>
      <c r="I70" s="102" t="n"/>
      <c r="J70" s="102" t="n"/>
      <c r="K70" s="103" t="n"/>
    </row>
    <row r="71" ht="25" customFormat="1" customHeight="1" s="125">
      <c r="A71" s="161" t="inlineStr">
        <is>
          <t>3. 공모전 운영</t>
        </is>
      </c>
      <c r="B71" s="162" t="n"/>
      <c r="C71" s="162" t="n"/>
      <c r="D71" s="188" t="n"/>
      <c r="E71" s="162" t="n"/>
      <c r="F71" s="162" t="n"/>
      <c r="G71" s="162" t="n"/>
      <c r="H71" s="163" t="n"/>
      <c r="I71" s="163" t="n"/>
      <c r="J71" s="189" t="n"/>
      <c r="K71" s="190" t="n"/>
    </row>
    <row r="72" ht="25" customFormat="1" customHeight="1" s="125">
      <c r="A72" s="198" t="inlineStr">
        <is>
          <t>사무국</t>
        </is>
      </c>
      <c r="B72" s="167" t="inlineStr">
        <is>
          <t>사무국 운영</t>
        </is>
      </c>
      <c r="C72" s="168" t="inlineStr">
        <is>
          <t>접수시스템·CS·행정</t>
        </is>
      </c>
      <c r="D72" s="60" t="n">
        <v>12000000</v>
      </c>
      <c r="E72" s="199" t="n">
        <v>1</v>
      </c>
      <c r="F72" s="170" t="n">
        <v>1</v>
      </c>
      <c r="G72" s="171" t="n"/>
      <c r="H72" s="171" t="n"/>
      <c r="I72" s="64" t="n">
        <v>12000000</v>
      </c>
      <c r="J72" s="189" t="n"/>
      <c r="K72" s="190" t="n"/>
    </row>
    <row r="73" ht="25" customFormat="1" customHeight="1" s="125">
      <c r="A73" s="198" t="inlineStr">
        <is>
          <t>홍보</t>
        </is>
      </c>
      <c r="B73" s="167" t="inlineStr">
        <is>
          <t>공모 홍보·모집</t>
        </is>
      </c>
      <c r="C73" s="168" t="inlineStr">
        <is>
          <t>업계·지자체 대상</t>
        </is>
      </c>
      <c r="D73" s="60" t="n">
        <v>15000000</v>
      </c>
      <c r="E73" s="199" t="n">
        <v>1</v>
      </c>
      <c r="F73" s="170" t="n">
        <v>1</v>
      </c>
      <c r="G73" s="171" t="n"/>
      <c r="H73" s="171" t="n"/>
      <c r="I73" s="64" t="n">
        <v>15000000</v>
      </c>
      <c r="J73" s="189" t="n"/>
      <c r="K73" s="190" t="n"/>
    </row>
    <row r="74" ht="25" customFormat="1" customHeight="1" s="125">
      <c r="A74" s="198" t="inlineStr">
        <is>
          <t>심사</t>
        </is>
      </c>
      <c r="B74" s="167" t="inlineStr">
        <is>
          <t>1차 심사 (서류)</t>
        </is>
      </c>
      <c r="C74" s="168" t="inlineStr">
        <is>
          <t>심사위원 수당·운영</t>
        </is>
      </c>
      <c r="D74" s="60" t="n">
        <v>8000000</v>
      </c>
      <c r="E74" s="199" t="n">
        <v>1</v>
      </c>
      <c r="F74" s="170" t="n">
        <v>1</v>
      </c>
      <c r="G74" s="171" t="n"/>
      <c r="H74" s="171" t="n"/>
      <c r="I74" s="64" t="n">
        <v>8000000</v>
      </c>
      <c r="J74" s="189" t="n"/>
      <c r="K74" s="190" t="n"/>
    </row>
    <row r="75" ht="25" customFormat="1" customHeight="1" s="125">
      <c r="A75" s="178" t="n"/>
      <c r="B75" s="167" t="inlineStr">
        <is>
          <t>2차 심사 (실물)</t>
        </is>
      </c>
      <c r="C75" s="168" t="inlineStr">
        <is>
          <t>심사위원 수당·장소·운영</t>
        </is>
      </c>
      <c r="D75" s="60" t="n">
        <v>12000000</v>
      </c>
      <c r="E75" s="199" t="n">
        <v>1</v>
      </c>
      <c r="F75" s="170" t="n">
        <v>1</v>
      </c>
      <c r="G75" s="171" t="n"/>
      <c r="H75" s="171" t="n"/>
      <c r="I75" s="64" t="n">
        <v>12000000</v>
      </c>
      <c r="J75" s="189" t="n"/>
      <c r="K75" s="190" t="n"/>
    </row>
    <row r="76" ht="25" customFormat="1" customHeight="1" s="125">
      <c r="A76" s="178" t="n"/>
      <c r="B76" s="167" t="inlineStr">
        <is>
          <t>3차 심사 (최종)</t>
        </is>
      </c>
      <c r="C76" s="168" t="inlineStr">
        <is>
          <t>심사위원 수당·장소·운영</t>
        </is>
      </c>
      <c r="D76" s="60" t="n">
        <v>10000000</v>
      </c>
      <c r="E76" s="199" t="n">
        <v>1</v>
      </c>
      <c r="F76" s="170" t="n">
        <v>1</v>
      </c>
      <c r="G76" s="171" t="n"/>
      <c r="H76" s="171" t="n"/>
      <c r="I76" s="64" t="n">
        <v>10000000</v>
      </c>
      <c r="J76" s="189" t="n"/>
      <c r="K76" s="190" t="n"/>
    </row>
    <row r="77" ht="25" customFormat="1" customHeight="1" s="125">
      <c r="A77" s="179" t="n"/>
      <c r="B77" s="167" t="inlineStr">
        <is>
          <t>일반인 심사 (온·오프)</t>
        </is>
      </c>
      <c r="C77" s="168" t="inlineStr">
        <is>
          <t>플랫폼 운영·경품</t>
        </is>
      </c>
      <c r="D77" s="60" t="n">
        <v>5000000</v>
      </c>
      <c r="E77" s="199" t="n">
        <v>1</v>
      </c>
      <c r="F77" s="170" t="n">
        <v>1</v>
      </c>
      <c r="G77" s="171" t="n"/>
      <c r="H77" s="171" t="n"/>
      <c r="I77" s="64" t="n">
        <v>5000000</v>
      </c>
      <c r="J77" s="189" t="n"/>
      <c r="K77" s="190" t="n"/>
    </row>
    <row r="78" ht="25" customFormat="1" customHeight="1" s="125">
      <c r="A78" s="198" t="inlineStr">
        <is>
          <t>대관</t>
        </is>
      </c>
      <c r="B78" s="167" t="inlineStr">
        <is>
          <t>오프라인 심사 대관료</t>
        </is>
      </c>
      <c r="C78" s="168" t="inlineStr">
        <is>
          <t>홍익대 대학로 아트센터 갤러리</t>
        </is>
      </c>
      <c r="D78" s="60" t="n">
        <v>10000000</v>
      </c>
      <c r="E78" s="199" t="n">
        <v>1</v>
      </c>
      <c r="F78" s="170" t="n">
        <v>1</v>
      </c>
      <c r="G78" s="171" t="n"/>
      <c r="H78" s="171" t="n"/>
      <c r="I78" s="64" t="n">
        <v>10000000</v>
      </c>
      <c r="J78" s="189" t="n"/>
      <c r="K78" s="190" t="n"/>
    </row>
    <row r="79" ht="25" customFormat="1" customHeight="1" s="125">
      <c r="A79" s="198" t="inlineStr">
        <is>
          <t>IP점검</t>
        </is>
      </c>
      <c r="B79" s="167" t="inlineStr">
        <is>
          <t>IP 침해 여부 점검</t>
        </is>
      </c>
      <c r="C79" s="168" t="inlineStr">
        <is>
          <t>특허법인 위탁</t>
        </is>
      </c>
      <c r="D79" s="60" t="n">
        <v>8000000</v>
      </c>
      <c r="E79" s="199" t="n">
        <v>1</v>
      </c>
      <c r="F79" s="170" t="n">
        <v>1</v>
      </c>
      <c r="G79" s="171" t="n"/>
      <c r="H79" s="171" t="n"/>
      <c r="I79" s="64" t="n">
        <v>8000000</v>
      </c>
      <c r="J79" s="189" t="n"/>
      <c r="K79" s="190" t="n"/>
    </row>
    <row r="80" ht="25" customFormat="1" customHeight="1" s="125">
      <c r="A80" s="198" t="inlineStr">
        <is>
          <t>교육</t>
        </is>
      </c>
      <c r="B80" s="167" t="inlineStr">
        <is>
          <t>비즈니스 교육</t>
        </is>
      </c>
      <c r="C80" s="168" t="inlineStr">
        <is>
          <t>강사·교재·장소</t>
        </is>
      </c>
      <c r="D80" s="60" t="n">
        <v>14000000</v>
      </c>
      <c r="E80" s="199" t="n">
        <v>1</v>
      </c>
      <c r="F80" s="170" t="n">
        <v>1</v>
      </c>
      <c r="G80" s="171" t="n"/>
      <c r="H80" s="171" t="n"/>
      <c r="I80" s="64" t="n">
        <v>14000000</v>
      </c>
      <c r="J80" s="189" t="inlineStr">
        <is>
          <t>수상작→상품화</t>
        </is>
      </c>
      <c r="K80" s="190" t="n"/>
    </row>
    <row r="81" ht="25" customFormat="1" customHeight="1" s="125">
      <c r="A81" s="198" t="inlineStr">
        <is>
          <t>컨설팅</t>
        </is>
      </c>
      <c r="B81" s="167" t="inlineStr">
        <is>
          <t>상품성 컨설팅</t>
        </is>
      </c>
      <c r="C81" s="168" t="inlineStr">
        <is>
          <t>디자인·패키지·브랜딩</t>
        </is>
      </c>
      <c r="D81" s="60" t="n">
        <v>12000000</v>
      </c>
      <c r="E81" s="199" t="n">
        <v>1</v>
      </c>
      <c r="F81" s="170" t="n">
        <v>1</v>
      </c>
      <c r="G81" s="171" t="n"/>
      <c r="H81" s="171" t="n"/>
      <c r="I81" s="64" t="n">
        <v>12000000</v>
      </c>
      <c r="J81" s="189" t="n"/>
      <c r="K81" s="190" t="n"/>
    </row>
    <row r="82" ht="25" customFormat="1" customHeight="1" s="125">
      <c r="A82" s="198" t="inlineStr">
        <is>
          <t>시상</t>
        </is>
      </c>
      <c r="B82" s="167" t="inlineStr">
        <is>
          <t>시상금·트로피·상장</t>
        </is>
      </c>
      <c r="C82" s="168" t="n"/>
      <c r="D82" s="60" t="n">
        <v>30000000</v>
      </c>
      <c r="E82" s="199" t="n">
        <v>1</v>
      </c>
      <c r="F82" s="170" t="n">
        <v>1</v>
      </c>
      <c r="G82" s="171" t="n"/>
      <c r="H82" s="171" t="n"/>
      <c r="I82" s="64" t="n">
        <v>30000000</v>
      </c>
      <c r="J82" s="189" t="inlineStr">
        <is>
          <t>RFP 기준</t>
        </is>
      </c>
      <c r="K82" s="190" t="n"/>
    </row>
    <row r="83" ht="25" customFormat="1" customHeight="1" s="125">
      <c r="A83" s="198" t="inlineStr">
        <is>
          <t>도록</t>
        </is>
      </c>
      <c r="B83" s="167" t="inlineStr">
        <is>
          <t>도록 제작·배포</t>
        </is>
      </c>
      <c r="C83" s="168" t="inlineStr">
        <is>
          <t>디자인·인쇄·배송</t>
        </is>
      </c>
      <c r="D83" s="60" t="n">
        <v>9000000</v>
      </c>
      <c r="E83" s="199" t="n">
        <v>1</v>
      </c>
      <c r="F83" s="170" t="n">
        <v>1</v>
      </c>
      <c r="G83" s="171" t="n"/>
      <c r="H83" s="171" t="n"/>
      <c r="I83" s="64" t="n">
        <v>9000000</v>
      </c>
      <c r="J83" s="189" t="n"/>
      <c r="K83" s="190" t="n"/>
    </row>
    <row r="84" ht="25" customFormat="1" customHeight="1" s="125">
      <c r="A84" s="198" t="inlineStr">
        <is>
          <t>촬영</t>
        </is>
      </c>
      <c r="B84" s="167" t="inlineStr">
        <is>
          <t>출품작 사진촬영</t>
        </is>
      </c>
      <c r="C84" s="168" t="inlineStr">
        <is>
          <t>스튜디오·리터칭</t>
        </is>
      </c>
      <c r="D84" s="60" t="n">
        <v>6000000</v>
      </c>
      <c r="E84" s="199" t="n">
        <v>1</v>
      </c>
      <c r="F84" s="170" t="n">
        <v>1</v>
      </c>
      <c r="G84" s="171" t="n"/>
      <c r="H84" s="171" t="n"/>
      <c r="I84" s="64" t="n">
        <v>6000000</v>
      </c>
      <c r="J84" s="189" t="n"/>
      <c r="K84" s="190" t="n"/>
    </row>
    <row r="85" ht="25" customFormat="1" customHeight="1" s="125">
      <c r="A85" s="181" t="inlineStr">
        <is>
          <t>소계</t>
        </is>
      </c>
      <c r="B85" s="182" t="n"/>
      <c r="C85" s="182" t="n"/>
      <c r="D85" s="182" t="n"/>
      <c r="E85" s="182" t="n"/>
      <c r="F85" s="182" t="n"/>
      <c r="G85" s="182" t="n"/>
      <c r="H85" s="183" t="n"/>
      <c r="I85" s="73">
        <f>SUM(I72:I84)</f>
        <v/>
      </c>
      <c r="J85" s="202" t="n"/>
      <c r="K85" s="203" t="n"/>
    </row>
    <row r="86" ht="10" customFormat="1" customHeight="1" s="125">
      <c r="A86" s="101" t="n"/>
      <c r="B86" s="102" t="n"/>
      <c r="C86" s="102" t="n"/>
      <c r="D86" s="102" t="n"/>
      <c r="E86" s="102" t="n"/>
      <c r="F86" s="102" t="n"/>
      <c r="G86" s="102" t="n"/>
      <c r="H86" s="102" t="n"/>
      <c r="I86" s="102" t="n"/>
      <c r="J86" s="102" t="n"/>
      <c r="K86" s="103" t="n"/>
    </row>
    <row r="87" ht="25" customFormat="1" customHeight="1" s="125">
      <c r="A87" s="161" t="inlineStr">
        <is>
          <t>4. 홍보 / 리브랜딩</t>
        </is>
      </c>
      <c r="B87" s="162" t="n"/>
      <c r="C87" s="162" t="n"/>
      <c r="D87" s="188" t="n"/>
      <c r="E87" s="162" t="n"/>
      <c r="F87" s="162" t="n"/>
      <c r="G87" s="162" t="n"/>
      <c r="H87" s="163" t="n"/>
      <c r="I87" s="163" t="n"/>
      <c r="J87" s="189" t="n"/>
      <c r="K87" s="190" t="n"/>
    </row>
    <row r="88" ht="25" customFormat="1" customHeight="1" s="125">
      <c r="A88" s="166" t="inlineStr">
        <is>
          <t>리브랜딩</t>
        </is>
      </c>
      <c r="B88" s="167" t="inlineStr">
        <is>
          <t>네이밍·BI·가이드라인</t>
        </is>
      </c>
      <c r="C88" s="168" t="inlineStr">
        <is>
          <t>한국관광명품 리브랜딩</t>
        </is>
      </c>
      <c r="D88" s="60" t="n">
        <v>13000000</v>
      </c>
      <c r="E88" s="199" t="n">
        <v>1</v>
      </c>
      <c r="F88" s="170" t="n">
        <v>1</v>
      </c>
      <c r="G88" s="171" t="n"/>
      <c r="H88" s="171" t="n"/>
      <c r="I88" s="64" t="n">
        <v>13000000</v>
      </c>
      <c r="J88" s="189" t="n"/>
      <c r="K88" s="190" t="n"/>
    </row>
    <row r="89" ht="25" customFormat="1" customHeight="1" s="125">
      <c r="A89" s="174" t="n"/>
      <c r="B89" s="167" t="inlineStr">
        <is>
          <t>키비주얼 디자인</t>
        </is>
      </c>
      <c r="C89" s="168" t="inlineStr">
        <is>
          <t>공모전·박람회 통합</t>
        </is>
      </c>
      <c r="D89" s="60" t="n">
        <v>5000000</v>
      </c>
      <c r="E89" s="199" t="n">
        <v>1</v>
      </c>
      <c r="F89" s="170" t="n">
        <v>1</v>
      </c>
      <c r="G89" s="171" t="n"/>
      <c r="H89" s="171" t="n"/>
      <c r="I89" s="64" t="n">
        <v>5000000</v>
      </c>
      <c r="J89" s="189" t="n"/>
      <c r="K89" s="190" t="n"/>
    </row>
    <row r="90" ht="25" customFormat="1" customHeight="1" s="125">
      <c r="A90" s="204" t="inlineStr">
        <is>
          <t>홈페이지</t>
        </is>
      </c>
      <c r="B90" s="167" t="inlineStr">
        <is>
          <t>콘텐츠 기획·운영</t>
        </is>
      </c>
      <c r="C90" s="168" t="inlineStr">
        <is>
          <t>배너·페이지 관리·콘텐츠</t>
        </is>
      </c>
      <c r="D90" s="60" t="n">
        <v>12000000</v>
      </c>
      <c r="E90" s="199" t="n">
        <v>1</v>
      </c>
      <c r="F90" s="170" t="n">
        <v>1</v>
      </c>
      <c r="G90" s="171" t="n"/>
      <c r="H90" s="171" t="n"/>
      <c r="I90" s="64" t="n">
        <v>12000000</v>
      </c>
      <c r="J90" s="189" t="n"/>
      <c r="K90" s="190" t="n"/>
    </row>
    <row r="91" ht="25" customFormat="1" customHeight="1" s="125">
      <c r="A91" s="204" t="inlineStr">
        <is>
          <t>SNS</t>
        </is>
      </c>
      <c r="B91" s="167" t="inlineStr">
        <is>
          <t>운영·콘텐츠 제작</t>
        </is>
      </c>
      <c r="C91" s="168" t="inlineStr">
        <is>
          <t>인스타 연중 운영</t>
        </is>
      </c>
      <c r="D91" s="60" t="n">
        <v>16000000</v>
      </c>
      <c r="E91" s="199" t="n">
        <v>1</v>
      </c>
      <c r="F91" s="170" t="n">
        <v>1</v>
      </c>
      <c r="G91" s="171" t="n"/>
      <c r="H91" s="171" t="n"/>
      <c r="I91" s="64" t="n">
        <v>16000000</v>
      </c>
      <c r="J91" s="189" t="inlineStr">
        <is>
          <t>목표 1.1만</t>
        </is>
      </c>
      <c r="K91" s="190" t="n"/>
    </row>
    <row r="92" ht="25" customFormat="1" customHeight="1" s="125">
      <c r="A92" s="204" t="inlineStr">
        <is>
          <t>광고</t>
        </is>
      </c>
      <c r="B92" s="167" t="inlineStr">
        <is>
          <t>제작비·운영관리</t>
        </is>
      </c>
      <c r="C92" s="168" t="inlineStr">
        <is>
          <t>매체비 220백만원 외 제작·관리</t>
        </is>
      </c>
      <c r="D92" s="60" t="n">
        <v>19000000</v>
      </c>
      <c r="E92" s="199" t="n">
        <v>1</v>
      </c>
      <c r="F92" s="170" t="n">
        <v>1</v>
      </c>
      <c r="G92" s="171" t="n"/>
      <c r="H92" s="171" t="n"/>
      <c r="I92" s="64" t="n">
        <v>19000000</v>
      </c>
      <c r="J92" s="189" t="inlineStr">
        <is>
          <t>매체비 공사 직집행</t>
        </is>
      </c>
      <c r="K92" s="190" t="n"/>
    </row>
    <row r="93" ht="25" customFormat="1" customHeight="1" s="125">
      <c r="A93" s="204" t="inlineStr">
        <is>
          <t>영상</t>
        </is>
      </c>
      <c r="B93" s="167" t="inlineStr">
        <is>
          <t>촬영·편집 (4건)</t>
        </is>
      </c>
      <c r="C93" s="168" t="inlineStr">
        <is>
          <t>공모전·수상작·시상식·박람회</t>
        </is>
      </c>
      <c r="D93" s="60" t="n">
        <v>7000000</v>
      </c>
      <c r="E93" s="199" t="n">
        <v>4</v>
      </c>
      <c r="F93" s="170" t="n">
        <v>1</v>
      </c>
      <c r="G93" s="171" t="n"/>
      <c r="H93" s="171" t="n"/>
      <c r="I93" s="64" t="n">
        <v>28000000</v>
      </c>
      <c r="J93" s="189" t="n"/>
      <c r="K93" s="190" t="n"/>
    </row>
    <row r="94" ht="25" customFormat="1" customHeight="1" s="125">
      <c r="A94" s="204" t="inlineStr">
        <is>
          <t>사진</t>
        </is>
      </c>
      <c r="B94" s="167" t="inlineStr">
        <is>
          <t>촬영 (연중)</t>
        </is>
      </c>
      <c r="C94" s="168" t="inlineStr">
        <is>
          <t>행사·제품·현장</t>
        </is>
      </c>
      <c r="D94" s="60" t="n">
        <v>8000000</v>
      </c>
      <c r="E94" s="199" t="n">
        <v>1</v>
      </c>
      <c r="F94" s="170" t="n">
        <v>1</v>
      </c>
      <c r="G94" s="171" t="n"/>
      <c r="H94" s="171" t="n"/>
      <c r="I94" s="64" t="n">
        <v>8000000</v>
      </c>
      <c r="J94" s="189" t="n"/>
      <c r="K94" s="190" t="n"/>
    </row>
    <row r="95" ht="25" customFormat="1" customHeight="1" s="125">
      <c r="A95" s="204" t="inlineStr">
        <is>
          <t>수상작 홍보</t>
        </is>
      </c>
      <c r="B95" s="167" t="inlineStr">
        <is>
          <t>홍보마케팅</t>
        </is>
      </c>
      <c r="C95" s="168" t="inlineStr">
        <is>
          <t>콘텐츠 캠페인·인플루언서 협업</t>
        </is>
      </c>
      <c r="D95" s="60" t="n">
        <v>18000000</v>
      </c>
      <c r="E95" s="199" t="n">
        <v>1</v>
      </c>
      <c r="F95" s="170" t="n">
        <v>1</v>
      </c>
      <c r="G95" s="171" t="n"/>
      <c r="H95" s="171" t="n"/>
      <c r="I95" s="64" t="n">
        <v>18000000</v>
      </c>
      <c r="J95" s="189" t="n"/>
      <c r="K95" s="190" t="n"/>
    </row>
    <row r="96" ht="25" customFormat="1" customHeight="1" s="125">
      <c r="A96" s="205" t="inlineStr">
        <is>
          <t>인쇄</t>
        </is>
      </c>
      <c r="B96" s="167" t="inlineStr">
        <is>
          <t>인쇄물 제작</t>
        </is>
      </c>
      <c r="C96" s="168" t="inlineStr">
        <is>
          <t>리플렛·초청장 등</t>
        </is>
      </c>
      <c r="D96" s="60" t="n">
        <v>4000000</v>
      </c>
      <c r="E96" s="199" t="n">
        <v>1</v>
      </c>
      <c r="F96" s="170" t="n">
        <v>1</v>
      </c>
      <c r="G96" s="171" t="n"/>
      <c r="H96" s="171" t="n"/>
      <c r="I96" s="64" t="n">
        <v>4000000</v>
      </c>
      <c r="J96" s="189" t="n"/>
      <c r="K96" s="190" t="n"/>
    </row>
    <row r="97" ht="25" customFormat="1" customHeight="1" s="125">
      <c r="A97" s="181" t="inlineStr">
        <is>
          <t>소계</t>
        </is>
      </c>
      <c r="B97" s="182" t="n"/>
      <c r="C97" s="182" t="n"/>
      <c r="D97" s="182" t="n"/>
      <c r="E97" s="182" t="n"/>
      <c r="F97" s="182" t="n"/>
      <c r="G97" s="182" t="n"/>
      <c r="H97" s="183" t="n"/>
      <c r="I97" s="73">
        <f>SUM(I88:I96)</f>
        <v/>
      </c>
      <c r="J97" s="202" t="n"/>
      <c r="K97" s="203" t="n"/>
    </row>
    <row r="98" ht="10" customFormat="1" customHeight="1" s="125">
      <c r="A98" s="101" t="n"/>
      <c r="B98" s="102" t="n"/>
      <c r="C98" s="102" t="n"/>
      <c r="D98" s="102" t="n"/>
      <c r="E98" s="102" t="n"/>
      <c r="F98" s="102" t="n"/>
      <c r="G98" s="102" t="n"/>
      <c r="H98" s="102" t="n"/>
      <c r="I98" s="102" t="n"/>
      <c r="J98" s="102" t="n"/>
      <c r="K98" s="103" t="n"/>
    </row>
    <row r="99" ht="25" customFormat="1" customHeight="1" s="125">
      <c r="A99" s="161" t="inlineStr">
        <is>
          <t>5. 운영비</t>
        </is>
      </c>
      <c r="B99" s="162" t="n"/>
      <c r="C99" s="162" t="n"/>
      <c r="D99" s="188" t="n"/>
      <c r="E99" s="162" t="n"/>
      <c r="F99" s="162" t="n"/>
      <c r="G99" s="162" t="n"/>
      <c r="H99" s="163" t="n"/>
      <c r="I99" s="163" t="n"/>
      <c r="J99" s="189" t="n"/>
      <c r="K99" s="190" t="n"/>
    </row>
    <row r="100" ht="25" customFormat="1" customHeight="1" s="125">
      <c r="A100" s="166" t="inlineStr">
        <is>
          <t>육성협의체</t>
        </is>
      </c>
      <c r="B100" s="167" t="inlineStr">
        <is>
          <t>위원 수당</t>
        </is>
      </c>
      <c r="C100" s="168" t="inlineStr">
        <is>
          <t>10인 내외</t>
        </is>
      </c>
      <c r="D100" s="60" t="n">
        <v>2500000</v>
      </c>
      <c r="E100" s="199" t="n">
        <v>4</v>
      </c>
      <c r="F100" s="170" t="n">
        <v>1</v>
      </c>
      <c r="G100" s="171" t="n"/>
      <c r="H100" s="171" t="n"/>
      <c r="I100" s="64" t="n">
        <v>10000000</v>
      </c>
      <c r="J100" s="189" t="inlineStr">
        <is>
          <t>연 3~4회</t>
        </is>
      </c>
      <c r="K100" s="190" t="n"/>
    </row>
    <row r="101" ht="25" customFormat="1" customHeight="1" s="125">
      <c r="A101" s="174" t="n"/>
      <c r="B101" s="167" t="inlineStr">
        <is>
          <t>운영경비</t>
        </is>
      </c>
      <c r="C101" s="168" t="inlineStr">
        <is>
          <t>장소·식음·자료</t>
        </is>
      </c>
      <c r="D101" s="60" t="n">
        <v>1000000</v>
      </c>
      <c r="E101" s="199" t="n">
        <v>4</v>
      </c>
      <c r="F101" s="170" t="n">
        <v>1</v>
      </c>
      <c r="G101" s="171" t="n"/>
      <c r="H101" s="171" t="n"/>
      <c r="I101" s="64" t="n">
        <v>4000000</v>
      </c>
      <c r="J101" s="189" t="n"/>
      <c r="K101" s="190" t="n"/>
    </row>
    <row r="102" ht="25" customFormat="1" customHeight="1" s="125">
      <c r="A102" s="204" t="inlineStr">
        <is>
          <t>출장</t>
        </is>
      </c>
      <c r="B102" s="167" t="inlineStr">
        <is>
          <t>국내 출장비</t>
        </is>
      </c>
      <c r="C102" s="168" t="n"/>
      <c r="D102" s="60" t="n">
        <v>7000000</v>
      </c>
      <c r="E102" s="199" t="n">
        <v>1</v>
      </c>
      <c r="F102" s="170" t="n">
        <v>1</v>
      </c>
      <c r="G102" s="171" t="n"/>
      <c r="H102" s="171" t="n"/>
      <c r="I102" s="64" t="n">
        <v>7000000</v>
      </c>
      <c r="J102" s="189" t="n"/>
      <c r="K102" s="190" t="n"/>
    </row>
    <row r="103" ht="25" customFormat="1" customHeight="1" s="125">
      <c r="A103" s="204" t="inlineStr">
        <is>
          <t>회의</t>
        </is>
      </c>
      <c r="B103" s="167" t="inlineStr">
        <is>
          <t>회의비</t>
        </is>
      </c>
      <c r="C103" s="168" t="n"/>
      <c r="D103" s="60" t="n">
        <v>4000000</v>
      </c>
      <c r="E103" s="199" t="n">
        <v>1</v>
      </c>
      <c r="F103" s="170" t="n">
        <v>1</v>
      </c>
      <c r="G103" s="171" t="n"/>
      <c r="H103" s="171" t="n"/>
      <c r="I103" s="64" t="n">
        <v>4000000</v>
      </c>
      <c r="J103" s="189" t="n"/>
      <c r="K103" s="190" t="n"/>
    </row>
    <row r="104" ht="25" customFormat="1" customHeight="1" s="125">
      <c r="A104" s="204" t="inlineStr">
        <is>
          <t>교통</t>
        </is>
      </c>
      <c r="B104" s="167" t="inlineStr">
        <is>
          <t>교통비</t>
        </is>
      </c>
      <c r="C104" s="168" t="n"/>
      <c r="D104" s="60" t="n">
        <v>3000000</v>
      </c>
      <c r="E104" s="199" t="n">
        <v>1</v>
      </c>
      <c r="F104" s="170" t="n">
        <v>1</v>
      </c>
      <c r="G104" s="171" t="n"/>
      <c r="H104" s="171" t="n"/>
      <c r="I104" s="64" t="n">
        <v>3000000</v>
      </c>
      <c r="J104" s="189" t="n"/>
      <c r="K104" s="190" t="n"/>
    </row>
    <row r="105" ht="25" customFormat="1" customHeight="1" s="125">
      <c r="A105" s="204" t="inlineStr">
        <is>
          <t>비품</t>
        </is>
      </c>
      <c r="B105" s="167" t="inlineStr">
        <is>
          <t>비품·소모품</t>
        </is>
      </c>
      <c r="C105" s="168" t="n"/>
      <c r="D105" s="60" t="n">
        <v>2000000</v>
      </c>
      <c r="E105" s="199" t="n">
        <v>1</v>
      </c>
      <c r="F105" s="170" t="n">
        <v>1</v>
      </c>
      <c r="G105" s="171" t="n"/>
      <c r="H105" s="171" t="n"/>
      <c r="I105" s="64" t="n">
        <v>2000000</v>
      </c>
      <c r="J105" s="189" t="n"/>
      <c r="K105" s="190" t="n"/>
    </row>
    <row r="106" ht="25" customFormat="1" customHeight="1" s="125">
      <c r="A106" s="205" t="inlineStr">
        <is>
          <t>기타</t>
        </is>
      </c>
      <c r="B106" s="167" t="inlineStr">
        <is>
          <t>우편·택배 등</t>
        </is>
      </c>
      <c r="C106" s="168" t="n"/>
      <c r="D106" s="60" t="n">
        <v>1000000</v>
      </c>
      <c r="E106" s="199" t="n">
        <v>1</v>
      </c>
      <c r="F106" s="170" t="n">
        <v>1</v>
      </c>
      <c r="G106" s="171" t="n"/>
      <c r="H106" s="171" t="n"/>
      <c r="I106" s="64" t="n">
        <v>1000000</v>
      </c>
      <c r="J106" s="189" t="n"/>
      <c r="K106" s="190" t="n"/>
    </row>
    <row r="107" ht="25" customFormat="1" customHeight="1" s="125">
      <c r="A107" s="181" t="inlineStr">
        <is>
          <t>소계</t>
        </is>
      </c>
      <c r="B107" s="182" t="n"/>
      <c r="C107" s="182" t="n"/>
      <c r="D107" s="182" t="n"/>
      <c r="E107" s="182" t="n"/>
      <c r="F107" s="182" t="n"/>
      <c r="G107" s="182" t="n"/>
      <c r="H107" s="183" t="n"/>
      <c r="I107" s="73">
        <f>SUM(I100:I106)</f>
        <v/>
      </c>
      <c r="J107" s="202" t="n"/>
      <c r="K107" s="203" t="n"/>
    </row>
    <row r="108" ht="10" customFormat="1" customHeight="1" s="125">
      <c r="A108" s="101" t="n"/>
      <c r="B108" s="102" t="n"/>
      <c r="C108" s="102" t="n"/>
      <c r="D108" s="102" t="n"/>
      <c r="E108" s="102" t="n"/>
      <c r="F108" s="102" t="n"/>
      <c r="G108" s="102" t="n"/>
      <c r="H108" s="102" t="n"/>
      <c r="I108" s="102" t="n"/>
      <c r="J108" s="102" t="n"/>
      <c r="K108" s="103" t="n"/>
    </row>
    <row r="109" ht="25" customFormat="1" customHeight="1" s="125">
      <c r="A109" s="161" t="inlineStr">
        <is>
          <t>6. 인건비 (학술연구용역 기준단가 적용)</t>
        </is>
      </c>
      <c r="B109" s="162" t="n"/>
      <c r="C109" s="162" t="n"/>
      <c r="D109" s="188" t="n"/>
      <c r="E109" s="163" t="inlineStr">
        <is>
          <t>Qty.</t>
        </is>
      </c>
      <c r="F109" s="163" t="inlineStr">
        <is>
          <t>M/M</t>
        </is>
      </c>
      <c r="G109" s="163" t="inlineStr">
        <is>
          <t>Dur.</t>
        </is>
      </c>
      <c r="H109" s="163" t="n"/>
      <c r="I109" s="163" t="n"/>
      <c r="J109" s="189" t="n"/>
      <c r="K109" s="190" t="n"/>
    </row>
    <row r="110" ht="25" customFormat="1" customHeight="1" s="125">
      <c r="A110" s="166" t="inlineStr">
        <is>
          <t>PM</t>
        </is>
      </c>
      <c r="B110" s="167" t="inlineStr">
        <is>
          <t>민** 대표이사</t>
        </is>
      </c>
      <c r="C110" s="168" t="inlineStr">
        <is>
          <t>책임연구원 / 참여율 20%</t>
        </is>
      </c>
      <c r="D110" s="60">
        <f>3783728*2</f>
        <v/>
      </c>
      <c r="E110" s="199" t="n">
        <v>1</v>
      </c>
      <c r="F110" s="170" t="n">
        <v>8</v>
      </c>
      <c r="G110" s="120" t="n">
        <v>0.2</v>
      </c>
      <c r="H110" s="171" t="n"/>
      <c r="I110" s="64" t="n">
        <v>12107928</v>
      </c>
      <c r="J110" s="189" t="inlineStr">
        <is>
          <t>사업총괄·공모전PM</t>
        </is>
      </c>
      <c r="K110" s="190" t="n"/>
    </row>
    <row r="111" ht="25" customFormat="1" customHeight="1" s="125">
      <c r="A111" s="174" t="n"/>
      <c r="B111" s="167" t="inlineStr">
        <is>
          <t>이** 실장</t>
        </is>
      </c>
      <c r="C111" s="168" t="inlineStr">
        <is>
          <t>책임연구원 / 참여율 50%</t>
        </is>
      </c>
      <c r="D111" s="60">
        <f>3783728*2</f>
        <v/>
      </c>
      <c r="E111" s="199" t="n">
        <v>1</v>
      </c>
      <c r="F111" s="170" t="n">
        <v>8</v>
      </c>
      <c r="G111" s="120" t="n">
        <v>0.5</v>
      </c>
      <c r="H111" s="171" t="n"/>
      <c r="I111" s="64" t="n">
        <v>30269824</v>
      </c>
      <c r="J111" s="189" t="inlineStr">
        <is>
          <t>박람회·유통판로PM</t>
        </is>
      </c>
      <c r="K111" s="190" t="n"/>
    </row>
    <row r="112" ht="25" customFormat="1" customHeight="1" s="125">
      <c r="A112" s="204" t="inlineStr">
        <is>
          <t>공모전</t>
        </is>
      </c>
      <c r="B112" s="167" t="inlineStr">
        <is>
          <t>김** 과장</t>
        </is>
      </c>
      <c r="C112" s="168" t="inlineStr">
        <is>
          <t>연구원 / 참여율 50%</t>
        </is>
      </c>
      <c r="D112" s="60">
        <f>2901312*2</f>
        <v/>
      </c>
      <c r="E112" s="199" t="n">
        <v>1</v>
      </c>
      <c r="F112" s="170" t="n">
        <v>8</v>
      </c>
      <c r="G112" s="120" t="n">
        <v>0.5</v>
      </c>
      <c r="H112" s="171" t="n"/>
      <c r="I112" s="64" t="n">
        <v>23210496</v>
      </c>
      <c r="J112" s="189" t="inlineStr">
        <is>
          <t>공모전 운영 총괄</t>
        </is>
      </c>
      <c r="K112" s="190" t="n"/>
    </row>
    <row r="113" ht="25" customFormat="1" customHeight="1" s="125">
      <c r="A113" s="204" t="inlineStr">
        <is>
          <t>박람회</t>
        </is>
      </c>
      <c r="B113" s="167" t="inlineStr">
        <is>
          <t>곽** 대리</t>
        </is>
      </c>
      <c r="C113" s="168" t="inlineStr">
        <is>
          <t>연구보조원 / 참여율 70%</t>
        </is>
      </c>
      <c r="D113" s="60">
        <f>1939429*2</f>
        <v/>
      </c>
      <c r="E113" s="199" t="n">
        <v>1</v>
      </c>
      <c r="F113" s="170" t="n">
        <v>8</v>
      </c>
      <c r="G113" s="120" t="n">
        <v>0.7</v>
      </c>
      <c r="H113" s="171" t="n"/>
      <c r="I113" s="64" t="n">
        <v>21721608</v>
      </c>
      <c r="J113" s="189" t="inlineStr">
        <is>
          <t>박람회 운영 총괄</t>
        </is>
      </c>
      <c r="K113" s="190" t="n"/>
    </row>
    <row r="114" ht="25" customFormat="1" customHeight="1" s="125">
      <c r="A114" s="204" t="inlineStr">
        <is>
          <t>운영</t>
        </is>
      </c>
      <c r="B114" s="167" t="inlineStr">
        <is>
          <t>이** 주임</t>
        </is>
      </c>
      <c r="C114" s="168" t="inlineStr">
        <is>
          <t>보조원 / 참여율 60%</t>
        </is>
      </c>
      <c r="D114" s="60">
        <f>1454621*2</f>
        <v/>
      </c>
      <c r="E114" s="199" t="n">
        <v>1</v>
      </c>
      <c r="F114" s="170" t="n">
        <v>8</v>
      </c>
      <c r="G114" s="120" t="n">
        <v>0.6</v>
      </c>
      <c r="H114" s="171" t="n"/>
      <c r="I114" s="64" t="n">
        <v>13964360</v>
      </c>
      <c r="J114" s="189" t="inlineStr">
        <is>
          <t>운영사무국</t>
        </is>
      </c>
      <c r="K114" s="190" t="n"/>
    </row>
    <row r="115" ht="25" customFormat="1" customHeight="1" s="125">
      <c r="A115" s="174" t="n"/>
      <c r="B115" s="167" t="inlineStr">
        <is>
          <t>이** 주임</t>
        </is>
      </c>
      <c r="C115" s="168" t="inlineStr">
        <is>
          <t>보조원 / 참여율 60%</t>
        </is>
      </c>
      <c r="D115" s="60">
        <f>1454621*2</f>
        <v/>
      </c>
      <c r="E115" s="199" t="n">
        <v>1</v>
      </c>
      <c r="F115" s="170" t="n">
        <v>8</v>
      </c>
      <c r="G115" s="120" t="n">
        <v>0.6</v>
      </c>
      <c r="H115" s="171" t="n"/>
      <c r="I115" s="64" t="n">
        <v>13964360</v>
      </c>
      <c r="J115" s="189" t="inlineStr">
        <is>
          <t>참가업체·전시</t>
        </is>
      </c>
      <c r="K115" s="190" t="n"/>
    </row>
    <row r="116" ht="25" customFormat="1" customHeight="1" s="125">
      <c r="A116" s="204" t="inlineStr">
        <is>
          <t>유통</t>
        </is>
      </c>
      <c r="B116" s="167" t="inlineStr">
        <is>
          <t>김** 주임</t>
        </is>
      </c>
      <c r="C116" s="168" t="inlineStr">
        <is>
          <t>보조원 / 참여율 70%</t>
        </is>
      </c>
      <c r="D116" s="60">
        <f>1454621*2</f>
        <v/>
      </c>
      <c r="E116" s="199" t="n">
        <v>1</v>
      </c>
      <c r="F116" s="170" t="n">
        <v>8</v>
      </c>
      <c r="G116" s="120" t="n">
        <v>0.7</v>
      </c>
      <c r="H116" s="171" t="n"/>
      <c r="I116" s="64" t="n">
        <v>16291752</v>
      </c>
      <c r="J116" s="189" t="inlineStr">
        <is>
          <t>유통판로 운영</t>
        </is>
      </c>
      <c r="K116" s="190" t="n"/>
    </row>
    <row r="117" ht="25" customFormat="1" customHeight="1" s="125">
      <c r="A117" s="174" t="n"/>
      <c r="B117" s="167" t="inlineStr">
        <is>
          <t>이** 사원</t>
        </is>
      </c>
      <c r="C117" s="168" t="inlineStr">
        <is>
          <t>보조원 / 참여율 60%</t>
        </is>
      </c>
      <c r="D117" s="60">
        <f>1454621*2</f>
        <v/>
      </c>
      <c r="E117" s="199" t="n">
        <v>1</v>
      </c>
      <c r="F117" s="170" t="n">
        <v>8</v>
      </c>
      <c r="G117" s="120" t="n">
        <v>0.6</v>
      </c>
      <c r="H117" s="171" t="n"/>
      <c r="I117" s="64" t="n">
        <v>13964360</v>
      </c>
      <c r="J117" s="189" t="inlineStr">
        <is>
          <t>참관객·등록</t>
        </is>
      </c>
      <c r="K117" s="190" t="n"/>
    </row>
    <row r="118" ht="25" customFormat="1" customHeight="1" s="125">
      <c r="A118" s="204" t="inlineStr">
        <is>
          <t>디자인</t>
        </is>
      </c>
      <c r="B118" s="167" t="inlineStr">
        <is>
          <t>서** 대리</t>
        </is>
      </c>
      <c r="C118" s="168" t="inlineStr">
        <is>
          <t>연구보조원 / 참여율 60%</t>
        </is>
      </c>
      <c r="D118" s="60">
        <f>1939429*2</f>
        <v/>
      </c>
      <c r="E118" s="199" t="n">
        <v>1</v>
      </c>
      <c r="F118" s="170" t="n">
        <v>8</v>
      </c>
      <c r="G118" s="120" t="n">
        <v>0.6</v>
      </c>
      <c r="H118" s="171" t="n"/>
      <c r="I118" s="64" t="n">
        <v>18618520</v>
      </c>
      <c r="J118" s="189" t="inlineStr">
        <is>
          <t>콘텐츠디자인 총괄</t>
        </is>
      </c>
      <c r="K118" s="190" t="n"/>
    </row>
    <row r="119" ht="25" customFormat="1" customHeight="1" s="125">
      <c r="A119" s="174" t="n"/>
      <c r="B119" s="167" t="inlineStr">
        <is>
          <t>성** 주임</t>
        </is>
      </c>
      <c r="C119" s="168" t="inlineStr">
        <is>
          <t>보조원 / 참여율 60%</t>
        </is>
      </c>
      <c r="D119" s="60">
        <f>1454621*2</f>
        <v/>
      </c>
      <c r="E119" s="199" t="n">
        <v>1</v>
      </c>
      <c r="F119" s="170" t="n">
        <v>8</v>
      </c>
      <c r="G119" s="120" t="n">
        <v>0.6</v>
      </c>
      <c r="H119" s="171" t="n"/>
      <c r="I119" s="64" t="n">
        <v>13964360</v>
      </c>
      <c r="J119" s="189" t="inlineStr">
        <is>
          <t>디자인 제작</t>
        </is>
      </c>
      <c r="K119" s="190" t="n"/>
    </row>
    <row r="120" ht="25" customFormat="1" customHeight="1" s="125">
      <c r="A120" s="205" t="inlineStr">
        <is>
          <t>행정</t>
        </is>
      </c>
      <c r="B120" s="167" t="inlineStr">
        <is>
          <t>김** 과장</t>
        </is>
      </c>
      <c r="C120" s="168" t="inlineStr">
        <is>
          <t>연구원 / 참여율 35%</t>
        </is>
      </c>
      <c r="D120" s="60">
        <f>2901312*2</f>
        <v/>
      </c>
      <c r="E120" s="199" t="n">
        <v>1</v>
      </c>
      <c r="F120" s="170" t="n">
        <v>8</v>
      </c>
      <c r="G120" s="120" t="n">
        <v>0.35</v>
      </c>
      <c r="H120" s="171" t="n"/>
      <c r="I120" s="64">
        <f>PRODUCT(D120:G120)</f>
        <v/>
      </c>
      <c r="J120" s="189" t="inlineStr">
        <is>
          <t>사업행정 지원</t>
        </is>
      </c>
      <c r="K120" s="190" t="n"/>
    </row>
    <row r="121" ht="25" customFormat="1" customHeight="1" s="125">
      <c r="A121" s="181" t="inlineStr">
        <is>
          <t>소계</t>
        </is>
      </c>
      <c r="B121" s="182" t="n"/>
      <c r="C121" s="182" t="n"/>
      <c r="D121" s="182" t="n"/>
      <c r="E121" s="182" t="n"/>
      <c r="F121" s="182" t="n"/>
      <c r="G121" s="182" t="n"/>
      <c r="H121" s="183" t="n"/>
      <c r="I121" s="73">
        <f>SUM(I110:I120)</f>
        <v/>
      </c>
      <c r="J121" s="202" t="n"/>
      <c r="K121" s="203" t="n"/>
    </row>
  </sheetData>
  <mergeCells count="50">
    <mergeCell ref="J39:K39"/>
    <mergeCell ref="A110:A111"/>
    <mergeCell ref="A39:H39"/>
    <mergeCell ref="J29:K29"/>
    <mergeCell ref="A88:A89"/>
    <mergeCell ref="A26:A28"/>
    <mergeCell ref="J38:K38"/>
    <mergeCell ref="J14:K14"/>
    <mergeCell ref="A107:H107"/>
    <mergeCell ref="J37:K37"/>
    <mergeCell ref="J28:K28"/>
    <mergeCell ref="I3:K3"/>
    <mergeCell ref="J13:K13"/>
    <mergeCell ref="A1:K1"/>
    <mergeCell ref="A118:A119"/>
    <mergeCell ref="J30:K30"/>
    <mergeCell ref="J34:K34"/>
    <mergeCell ref="A69:H69"/>
    <mergeCell ref="J24:K24"/>
    <mergeCell ref="A74:A77"/>
    <mergeCell ref="J15:K15"/>
    <mergeCell ref="I5:K5"/>
    <mergeCell ref="J27:K27"/>
    <mergeCell ref="J36:K36"/>
    <mergeCell ref="J26:K26"/>
    <mergeCell ref="J35:K35"/>
    <mergeCell ref="J20:K20"/>
    <mergeCell ref="G3:G8"/>
    <mergeCell ref="A100:A101"/>
    <mergeCell ref="J16:K16"/>
    <mergeCell ref="J32:K32"/>
    <mergeCell ref="A85:H85"/>
    <mergeCell ref="A116:A117"/>
    <mergeCell ref="J25:K25"/>
    <mergeCell ref="A23:A24"/>
    <mergeCell ref="A29:A32"/>
    <mergeCell ref="J31:K31"/>
    <mergeCell ref="A33:A38"/>
    <mergeCell ref="J22:K22"/>
    <mergeCell ref="A97:H97"/>
    <mergeCell ref="A17:H17"/>
    <mergeCell ref="J12:K12"/>
    <mergeCell ref="A121:H121"/>
    <mergeCell ref="A19:K19"/>
    <mergeCell ref="J33:K33"/>
    <mergeCell ref="A10:K10"/>
    <mergeCell ref="J23:K23"/>
    <mergeCell ref="A40:K40"/>
    <mergeCell ref="J17:K17"/>
    <mergeCell ref="A114:A115"/>
  </mergeCells>
  <hyperlinks>
    <hyperlink xmlns:r="http://schemas.openxmlformats.org/officeDocument/2006/relationships" ref="K7" r:id="rId1"/>
  </hyperlinks>
  <printOptions horizontalCentered="1"/>
  <pageMargins left="0.25" right="0.25" top="0.75" bottom="0.75" header="0.511811023622047" footer="0.511811023622047"/>
  <pageSetup orientation="portrait" paperSize="8" fitToHeight="0" horizontalDpi="300" verticalDpi="300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진철 이</dc:creator>
  <dc:language xmlns:dc="http://purl.org/dc/elements/1.1/">en-US</dc:language>
  <dcterms:created xmlns:dcterms="http://purl.org/dc/terms/" xmlns:xsi="http://www.w3.org/2001/XMLSchema-instance" xsi:type="dcterms:W3CDTF">2026-03-25T08:45:51Z</dcterms:created>
  <dcterms:modified xmlns:dcterms="http://purl.org/dc/terms/" xmlns:xsi="http://www.w3.org/2001/XMLSchema-instance" xsi:type="dcterms:W3CDTF">2026-05-25T12:03:31Z</dcterms:modified>
  <cp:lastModifiedBy>진철 이</cp:lastModifiedBy>
  <cp:revision>0</cp:revision>
</cp:coreProperties>
</file>